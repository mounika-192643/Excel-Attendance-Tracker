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RT HERE" sheetId="1" state="visible" r:id="rId1"/>
    <sheet xmlns:r="http://schemas.openxmlformats.org/officeDocument/2006/relationships" name="Attendance Tracker" sheetId="2" state="visible" r:id="rId2"/>
    <sheet xmlns:r="http://schemas.openxmlformats.org/officeDocument/2006/relationships" name="Analysis &amp; Pivot Results" sheetId="3" state="visible" r:id="rId3"/>
    <sheet xmlns:r="http://schemas.openxmlformats.org/officeDocument/2006/relationships" name="Daily Summary" sheetId="4" state="visible" r:id="rId4"/>
    <sheet xmlns:r="http://schemas.openxmlformats.org/officeDocument/2006/relationships" name="Department Summary" sheetId="5" state="visible" r:id="rId5"/>
    <sheet xmlns:r="http://schemas.openxmlformats.org/officeDocument/2006/relationships" name="PivotTable Guide" sheetId="6" state="visible" r:id="rId6"/>
    <sheet xmlns:r="http://schemas.openxmlformats.org/officeDocument/2006/relationships" name="List1_ContactInfo" sheetId="7" state="visible" r:id="rId7"/>
    <sheet xmlns:r="http://schemas.openxmlformats.org/officeDocument/2006/relationships" name="List2_Department" sheetId="8" state="visible" r:id="rId8"/>
    <sheet xmlns:r="http://schemas.openxmlformats.org/officeDocument/2006/relationships" name="List3_Details" sheetId="9" state="visible" r:id="rId9"/>
  </sheets>
  <definedNames>
    <definedName name="_xlnm._FilterDatabase" localSheetId="1" hidden="1">'Attendance Tracker'!$A$1:$I$51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m-yyyy"/>
    <numFmt numFmtId="165" formatCode="dd-mmm-yyyy"/>
  </numFmts>
  <fonts count="8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cheme val="minor"/>
    </font>
    <font>
      <b val="1"/>
      <color rgb="00FFFFFF"/>
    </font>
    <font>
      <b val="1"/>
      <color rgb="00FFFFFF"/>
      <sz val="14"/>
    </font>
    <font>
      <b val="1"/>
      <color rgb="001F4E78"/>
    </font>
    <font>
      <b val="1"/>
      <color rgb="00FFFFFF"/>
      <sz val="16"/>
    </font>
  </fonts>
  <fills count="6">
    <fill>
      <patternFill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001F4E78"/>
      </patternFill>
    </fill>
    <fill>
      <patternFill patternType="solid">
        <fgColor rgb="0017365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2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 wrapText="1"/>
    </xf>
    <xf numFmtId="15" fontId="2" fillId="0" borderId="0" applyAlignment="1" pivotButton="0" quotePrefix="0" xfId="0">
      <alignment horizontal="right" wrapText="1"/>
    </xf>
    <xf numFmtId="0" fontId="3" fillId="0" borderId="0" pivotButton="0" quotePrefix="0" xfId="0"/>
    <xf numFmtId="0" fontId="0" fillId="0" borderId="0" pivotButton="0" quotePrefix="0" xfId="0"/>
    <xf numFmtId="0" fontId="7" fillId="4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9" fontId="0" fillId="0" borderId="0" pivotButton="0" quotePrefix="0" xfId="0"/>
    <xf numFmtId="0" fontId="4" fillId="4" borderId="0" pivotButton="0" quotePrefix="0" xfId="0"/>
    <xf numFmtId="165" fontId="0" fillId="0" borderId="0" pivotButton="0" quotePrefix="0" xfId="0"/>
    <xf numFmtId="0" fontId="4" fillId="4" borderId="0" applyAlignment="1" pivotButton="0" quotePrefix="0" xfId="0">
      <alignment horizontal="center" wrapText="1"/>
    </xf>
    <xf numFmtId="0" fontId="5" fillId="4" borderId="0" pivotButton="0" quotePrefix="0" xfId="0"/>
    <xf numFmtId="0" fontId="6" fillId="0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wrapText="1"/>
    </xf>
    <xf numFmtId="164" fontId="0" fillId="0" borderId="0" pivotButton="0" quotePrefix="0" xfId="0"/>
    <xf numFmtId="0" fontId="4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  <xf numFmtId="9" fontId="4" fillId="5" borderId="0" applyAlignment="1" pivotButton="0" quotePrefix="0" xfId="0">
      <alignment vertical="center" wrapText="1"/>
    </xf>
    <xf numFmtId="165" fontId="4" fillId="5" borderId="0" applyAlignment="1" pivotButton="0" quotePrefix="0" xfId="0">
      <alignment vertical="center" wrapText="1"/>
    </xf>
    <xf numFmtId="165" fontId="2" fillId="0" borderId="0" applyAlignment="1" pivotButton="0" quotePrefix="0" xfId="0">
      <alignment horizontal="right" wrapText="1"/>
    </xf>
  </cellXfs>
  <cellStyles count="1">
    <cellStyle name="Normal" xfId="0" builtinId="0"/>
  </cellStyles>
  <dxfs count="9">
    <dxf>
      <fill>
        <patternFill patternType="solid">
          <fgColor rgb="00D9EAD3"/>
        </patternFill>
      </fill>
    </dxf>
    <dxf>
      <fill>
        <patternFill patternType="solid">
          <fgColor rgb="00CFE2F3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D9D2E9"/>
        </patternFill>
      </fill>
    </dxf>
    <dxf>
      <fill>
        <patternFill patternType="solid">
          <fgColor rgb="00FFF2CC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Attendees Present Per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&amp; Pivot Results'!B5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&amp; Pivot Results'!$A$6:$A$10</f>
            </numRef>
          </cat>
          <val>
            <numRef>
              <f>'Analysis &amp; Pivot Results'!$B$6:$B$10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Present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Attendance by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 Summary'!$A$2:$A$6</f>
            </numRef>
          </cat>
          <val>
            <numRef>
              <f>'Daily Summary'!$B$2:$B$6</f>
            </numRef>
          </val>
        </ser>
        <ser>
          <idx val="1"/>
          <order val="1"/>
          <tx>
            <strRef>
              <f>'Daily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 Summary'!$A$2:$A$6</f>
            </numRef>
          </cat>
          <val>
            <numRef>
              <f>'Daily Summary'!$C$2:$C$6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attendees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ttendanceTrackerTable" displayName="AttendanceTrackerTable" ref="A1:I51" headerRowCount="1">
  <autoFilter ref="A1:I51"/>
  <tableColumns count="9">
    <tableColumn id="1" name="Name"/>
    <tableColumn id="2" name="Month"/>
    <tableColumn id="3" name="Contact"/>
    <tableColumn id="4" name="Group/Department"/>
    <tableColumn id="5" name="Group"/>
    <tableColumn id="6" name="Total days present"/>
    <tableColumn id="7" name="Actual days present"/>
    <tableColumn id="8" name="Attendance percentage"/>
    <tableColumn id="9" name="Attendance requirement me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ailySummaryTable" displayName="DailySummaryTable" ref="A1:D6" headerRowCount="1">
  <autoFilter ref="A1:D6"/>
  <tableColumns count="4">
    <tableColumn id="1" name="Date"/>
    <tableColumn id="2" name="Present"/>
    <tableColumn id="3" name="Absent"/>
    <tableColumn id="4" name="Total record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DepartmentSummaryTable" displayName="DepartmentSummaryTable" ref="A1:F6" headerRowCount="1">
  <autoFilter ref="A1:F6"/>
  <tableColumns count="6">
    <tableColumn id="1" name="Department"/>
    <tableColumn id="2" name="Group"/>
    <tableColumn id="3" name="Attendees"/>
    <tableColumn id="4" name="Average attendance %"/>
    <tableColumn id="5" name="Requirements met"/>
    <tableColumn id="6" name="Requirements not me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ontactsTable" displayName="ContactsTable" ref="A1:B58" headerRowCount="1">
  <autoFilter ref="A1:B58"/>
  <tableColumns count="2">
    <tableColumn id="1" name="Name"/>
    <tableColumn id="2" name="Email Addres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DepartmentTable" displayName="DepartmentTable" ref="A1:B51" headerRowCount="1">
  <autoFilter ref="A1:B51"/>
  <tableColumns count="2">
    <tableColumn id="1" name="Name"/>
    <tableColumn id="2" name="Department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AttendanceDetails" displayName="AttendanceDetails" ref="A1:E251" headerRowCount="1">
  <autoFilter ref="A1:E251"/>
  <tableColumns count="5">
    <tableColumn id="1" name="Name"/>
    <tableColumn id="2" name="Date"/>
    <tableColumn id="3" name="Attended"/>
    <tableColumn id="4" name="Attendance status"/>
    <tableColumn id="5" name="Attendance count"/>
  </tableColumns>
  <tableStyleInfo name="TableStyleMedium4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5" customWidth="1" style="11" min="1" max="1"/>
  </cols>
  <sheetData>
    <row r="1" ht="34" customHeight="1" s="11">
      <c r="A1" s="12" t="inlineStr">
        <is>
          <t>Attendance Tracker Project — START HERE</t>
        </is>
      </c>
    </row>
    <row r="2" ht="34" customHeight="1" s="11">
      <c r="A2" s="13" t="inlineStr">
        <is>
          <t>This workbook was prepared from your Coursera dataset. Open it in Microsoft Excel and allow formulas to calculate.</t>
        </is>
      </c>
    </row>
    <row r="3" ht="34" customHeight="1" s="11">
      <c r="A3" s="13" t="inlineStr">
        <is>
          <t>1. Attendance Tracker: the main tracker. It includes lookup formulas, attendance counts, percentages, group requirements, and conditional formatting.</t>
        </is>
      </c>
    </row>
    <row r="4" ht="34" customHeight="1" s="11">
      <c r="A4" s="13" t="inlineStr">
        <is>
          <t>2. List1_ContactInfo / List2_Department / List3_Details: original source lists. List3 now includes Attendance status and Attendance count helper columns.</t>
        </is>
      </c>
    </row>
    <row r="5" ht="34" customHeight="1" s="11">
      <c r="A5" s="13" t="inlineStr">
        <is>
          <t>3. Daily Summary: formula-based daily present/absent totals and an attendance chart.</t>
        </is>
      </c>
    </row>
    <row r="6" ht="34" customHeight="1" s="11">
      <c r="A6" s="13" t="inlineStr">
        <is>
          <t>4. Department Summary: formula-based average attendance and requirement totals.</t>
        </is>
      </c>
    </row>
    <row r="7" ht="34" customHeight="1" s="11">
      <c r="A7" s="13" t="inlineStr">
        <is>
          <t>5. PivotTable Guide: follow the steps to create the actual PivotTables required by the assignment.</t>
        </is>
      </c>
    </row>
    <row r="8" ht="34" customHeight="1" s="11">
      <c r="A8" s="13" t="inlineStr">
        <is>
          <t>6. Save your own copy before editing. For the reusable template, open the separate Attendance_Tracker_Reusable_Template.xlsx file.</t>
        </is>
      </c>
    </row>
    <row r="9" ht="34" customHeight="1" s="11">
      <c r="A9" s="13" t="inlineStr">
        <is>
          <t>Important: Verify the formulas and PivotTables in Excel before submitting. Some formula results may appear only after opening the file in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1" min="1" max="1"/>
    <col width="14" customWidth="1" style="11" min="2" max="2"/>
    <col width="32" customWidth="1" style="11" min="3" max="3"/>
    <col width="18" customWidth="1" style="11" min="4" max="4"/>
    <col width="10" customWidth="1" style="11" min="5" max="5"/>
    <col width="20" customWidth="1" style="11" min="6" max="6"/>
    <col width="20" customWidth="1" style="11" min="7" max="7"/>
    <col width="22" customWidth="1" style="11" min="8" max="8"/>
    <col width="26" customWidth="1" style="11" min="9" max="9"/>
  </cols>
  <sheetData>
    <row r="1" ht="40" customHeight="1" s="11">
      <c r="A1" s="14" t="inlineStr">
        <is>
          <t>Name</t>
        </is>
      </c>
      <c r="B1" s="14" t="inlineStr">
        <is>
          <t>Month</t>
        </is>
      </c>
      <c r="C1" s="14" t="inlineStr">
        <is>
          <t>Contact</t>
        </is>
      </c>
      <c r="D1" s="14" t="inlineStr">
        <is>
          <t>Group/Department</t>
        </is>
      </c>
      <c r="E1" s="14" t="inlineStr">
        <is>
          <t>Group</t>
        </is>
      </c>
      <c r="F1" s="14" t="inlineStr">
        <is>
          <t>Total days present</t>
        </is>
      </c>
      <c r="G1" s="14" t="inlineStr">
        <is>
          <t>Actual days present</t>
        </is>
      </c>
      <c r="H1" s="14" t="inlineStr">
        <is>
          <t>Attendance percentage</t>
        </is>
      </c>
      <c r="I1" s="14" t="inlineStr">
        <is>
          <t>Attendance requirement met</t>
        </is>
      </c>
    </row>
    <row r="2">
      <c r="A2" s="0" t="inlineStr">
        <is>
          <t>Attendee 1</t>
        </is>
      </c>
      <c r="B2" s="24" t="n">
        <v>45474</v>
      </c>
      <c r="C2" s="0">
        <f>IFERROR(VLOOKUP(A2,'List1_ContactInfo'!$A$2:$B$58,2,FALSE),"")</f>
        <v/>
      </c>
      <c r="D2" s="0">
        <f>IFERROR(VLOOKUP(A2,'List2_Department'!$A$2:$B$51,2,FALSE),"")</f>
        <v/>
      </c>
      <c r="E2" s="0">
        <f>IFERROR(VLOOKUP(D2,'List2_Department'!$D$3:$E$7,2,FALSE),"")</f>
        <v/>
      </c>
      <c r="F2" s="0">
        <f>IF(B2="","",DATE(YEAR(B2),MONTH(B2),5)-DATE(YEAR(B2),MONTH(B2),1)+1)</f>
        <v/>
      </c>
      <c r="G2" s="0">
        <f>IF(B2="","",SUMIF('List3_Details'!$A$2:$A$251,A2,'List3_Details'!$E$2:$E$251))</f>
        <v/>
      </c>
      <c r="H2" s="16">
        <f>IF(OR(B2="",F2=0),"",G2/F2)</f>
        <v/>
      </c>
      <c r="I2" s="0">
        <f>IF(H2="","",IF(H2&gt;=IF(OR(E2="A",E2="B",E2="C"),80%,40%),"Met","Not Met"))</f>
        <v/>
      </c>
    </row>
    <row r="3">
      <c r="A3" s="0" t="inlineStr">
        <is>
          <t>Attendee 2</t>
        </is>
      </c>
      <c r="B3" s="24" t="n">
        <v>45474</v>
      </c>
      <c r="C3" s="0">
        <f>IFERROR(VLOOKUP(A3,'List1_ContactInfo'!$A$2:$B$58,2,FALSE),"")</f>
        <v/>
      </c>
      <c r="D3" s="0">
        <f>IFERROR(VLOOKUP(A3,'List2_Department'!$A$2:$B$51,2,FALSE),"")</f>
        <v/>
      </c>
      <c r="E3" s="0">
        <f>IFERROR(VLOOKUP(D3,'List2_Department'!$D$3:$E$7,2,FALSE),"")</f>
        <v/>
      </c>
      <c r="F3" s="0">
        <f>IF(B3="","",DATE(YEAR(B3),MONTH(B3),5)-DATE(YEAR(B3),MONTH(B3),1)+1)</f>
        <v/>
      </c>
      <c r="G3" s="0">
        <f>IF(B3="","",SUMIF('List3_Details'!$A$2:$A$251,A3,'List3_Details'!$E$2:$E$251))</f>
        <v/>
      </c>
      <c r="H3" s="16">
        <f>IF(OR(B3="",F3=0),"",G3/F3)</f>
        <v/>
      </c>
      <c r="I3" s="0">
        <f>IF(H3="","",IF(H3&gt;=IF(OR(E3="A",E3="B",E3="C"),80%,40%),"Met","Not Met"))</f>
        <v/>
      </c>
    </row>
    <row r="4">
      <c r="A4" s="0" t="inlineStr">
        <is>
          <t>Attendee 3</t>
        </is>
      </c>
      <c r="B4" s="24" t="n">
        <v>45474</v>
      </c>
      <c r="C4" s="0">
        <f>IFERROR(VLOOKUP(A4,'List1_ContactInfo'!$A$2:$B$58,2,FALSE),"")</f>
        <v/>
      </c>
      <c r="D4" s="0">
        <f>IFERROR(VLOOKUP(A4,'List2_Department'!$A$2:$B$51,2,FALSE),"")</f>
        <v/>
      </c>
      <c r="E4" s="0">
        <f>IFERROR(VLOOKUP(D4,'List2_Department'!$D$3:$E$7,2,FALSE),"")</f>
        <v/>
      </c>
      <c r="F4" s="0">
        <f>IF(B4="","",DATE(YEAR(B4),MONTH(B4),5)-DATE(YEAR(B4),MONTH(B4),1)+1)</f>
        <v/>
      </c>
      <c r="G4" s="0">
        <f>IF(B4="","",SUMIF('List3_Details'!$A$2:$A$251,A4,'List3_Details'!$E$2:$E$251))</f>
        <v/>
      </c>
      <c r="H4" s="16">
        <f>IF(OR(B4="",F4=0),"",G4/F4)</f>
        <v/>
      </c>
      <c r="I4" s="0">
        <f>IF(H4="","",IF(H4&gt;=IF(OR(E4="A",E4="B",E4="C"),80%,40%),"Met","Not Met"))</f>
        <v/>
      </c>
    </row>
    <row r="5">
      <c r="A5" s="0" t="inlineStr">
        <is>
          <t>Attendee 4</t>
        </is>
      </c>
      <c r="B5" s="24" t="n">
        <v>45474</v>
      </c>
      <c r="C5" s="0">
        <f>IFERROR(VLOOKUP(A5,'List1_ContactInfo'!$A$2:$B$58,2,FALSE),"")</f>
        <v/>
      </c>
      <c r="D5" s="0">
        <f>IFERROR(VLOOKUP(A5,'List2_Department'!$A$2:$B$51,2,FALSE),"")</f>
        <v/>
      </c>
      <c r="E5" s="0">
        <f>IFERROR(VLOOKUP(D5,'List2_Department'!$D$3:$E$7,2,FALSE),"")</f>
        <v/>
      </c>
      <c r="F5" s="0">
        <f>IF(B5="","",DATE(YEAR(B5),MONTH(B5),5)-DATE(YEAR(B5),MONTH(B5),1)+1)</f>
        <v/>
      </c>
      <c r="G5" s="0">
        <f>IF(B5="","",SUMIF('List3_Details'!$A$2:$A$251,A5,'List3_Details'!$E$2:$E$251))</f>
        <v/>
      </c>
      <c r="H5" s="16">
        <f>IF(OR(B5="",F5=0),"",G5/F5)</f>
        <v/>
      </c>
      <c r="I5" s="0">
        <f>IF(H5="","",IF(H5&gt;=IF(OR(E5="A",E5="B",E5="C"),80%,40%),"Met","Not Met"))</f>
        <v/>
      </c>
    </row>
    <row r="6">
      <c r="A6" s="0" t="inlineStr">
        <is>
          <t>Attendee 5</t>
        </is>
      </c>
      <c r="B6" s="24" t="n">
        <v>45474</v>
      </c>
      <c r="C6" s="0">
        <f>IFERROR(VLOOKUP(A6,'List1_ContactInfo'!$A$2:$B$58,2,FALSE),"")</f>
        <v/>
      </c>
      <c r="D6" s="0">
        <f>IFERROR(VLOOKUP(A6,'List2_Department'!$A$2:$B$51,2,FALSE),"")</f>
        <v/>
      </c>
      <c r="E6" s="0">
        <f>IFERROR(VLOOKUP(D6,'List2_Department'!$D$3:$E$7,2,FALSE),"")</f>
        <v/>
      </c>
      <c r="F6" s="0">
        <f>IF(B6="","",DATE(YEAR(B6),MONTH(B6),5)-DATE(YEAR(B6),MONTH(B6),1)+1)</f>
        <v/>
      </c>
      <c r="G6" s="0">
        <f>IF(B6="","",SUMIF('List3_Details'!$A$2:$A$251,A6,'List3_Details'!$E$2:$E$251))</f>
        <v/>
      </c>
      <c r="H6" s="16">
        <f>IF(OR(B6="",F6=0),"",G6/F6)</f>
        <v/>
      </c>
      <c r="I6" s="0">
        <f>IF(H6="","",IF(H6&gt;=IF(OR(E6="A",E6="B",E6="C"),80%,40%),"Met","Not Met"))</f>
        <v/>
      </c>
    </row>
    <row r="7">
      <c r="A7" s="0" t="inlineStr">
        <is>
          <t>Attendee 6</t>
        </is>
      </c>
      <c r="B7" s="24" t="n">
        <v>45474</v>
      </c>
      <c r="C7" s="0">
        <f>IFERROR(VLOOKUP(A7,'List1_ContactInfo'!$A$2:$B$58,2,FALSE),"")</f>
        <v/>
      </c>
      <c r="D7" s="0">
        <f>IFERROR(VLOOKUP(A7,'List2_Department'!$A$2:$B$51,2,FALSE),"")</f>
        <v/>
      </c>
      <c r="E7" s="0">
        <f>IFERROR(VLOOKUP(D7,'List2_Department'!$D$3:$E$7,2,FALSE),"")</f>
        <v/>
      </c>
      <c r="F7" s="0">
        <f>IF(B7="","",DATE(YEAR(B7),MONTH(B7),5)-DATE(YEAR(B7),MONTH(B7),1)+1)</f>
        <v/>
      </c>
      <c r="G7" s="0">
        <f>IF(B7="","",SUMIF('List3_Details'!$A$2:$A$251,A7,'List3_Details'!$E$2:$E$251))</f>
        <v/>
      </c>
      <c r="H7" s="16">
        <f>IF(OR(B7="",F7=0),"",G7/F7)</f>
        <v/>
      </c>
      <c r="I7" s="0">
        <f>IF(H7="","",IF(H7&gt;=IF(OR(E7="A",E7="B",E7="C"),80%,40%),"Met","Not Met"))</f>
        <v/>
      </c>
    </row>
    <row r="8">
      <c r="A8" s="0" t="inlineStr">
        <is>
          <t>Attendee 7</t>
        </is>
      </c>
      <c r="B8" s="24" t="n">
        <v>45474</v>
      </c>
      <c r="C8" s="0">
        <f>IFERROR(VLOOKUP(A8,'List1_ContactInfo'!$A$2:$B$58,2,FALSE),"")</f>
        <v/>
      </c>
      <c r="D8" s="0">
        <f>IFERROR(VLOOKUP(A8,'List2_Department'!$A$2:$B$51,2,FALSE),"")</f>
        <v/>
      </c>
      <c r="E8" s="0">
        <f>IFERROR(VLOOKUP(D8,'List2_Department'!$D$3:$E$7,2,FALSE),"")</f>
        <v/>
      </c>
      <c r="F8" s="0">
        <f>IF(B8="","",DATE(YEAR(B8),MONTH(B8),5)-DATE(YEAR(B8),MONTH(B8),1)+1)</f>
        <v/>
      </c>
      <c r="G8" s="0">
        <f>IF(B8="","",SUMIF('List3_Details'!$A$2:$A$251,A8,'List3_Details'!$E$2:$E$251))</f>
        <v/>
      </c>
      <c r="H8" s="16">
        <f>IF(OR(B8="",F8=0),"",G8/F8)</f>
        <v/>
      </c>
      <c r="I8" s="0">
        <f>IF(H8="","",IF(H8&gt;=IF(OR(E8="A",E8="B",E8="C"),80%,40%),"Met","Not Met"))</f>
        <v/>
      </c>
    </row>
    <row r="9">
      <c r="A9" s="0" t="inlineStr">
        <is>
          <t>Attendee 8</t>
        </is>
      </c>
      <c r="B9" s="24" t="n">
        <v>45474</v>
      </c>
      <c r="C9" s="0">
        <f>IFERROR(VLOOKUP(A9,'List1_ContactInfo'!$A$2:$B$58,2,FALSE),"")</f>
        <v/>
      </c>
      <c r="D9" s="0">
        <f>IFERROR(VLOOKUP(A9,'List2_Department'!$A$2:$B$51,2,FALSE),"")</f>
        <v/>
      </c>
      <c r="E9" s="0">
        <f>IFERROR(VLOOKUP(D9,'List2_Department'!$D$3:$E$7,2,FALSE),"")</f>
        <v/>
      </c>
      <c r="F9" s="0">
        <f>IF(B9="","",DATE(YEAR(B9),MONTH(B9),5)-DATE(YEAR(B9),MONTH(B9),1)+1)</f>
        <v/>
      </c>
      <c r="G9" s="0">
        <f>IF(B9="","",SUMIF('List3_Details'!$A$2:$A$251,A9,'List3_Details'!$E$2:$E$251))</f>
        <v/>
      </c>
      <c r="H9" s="16">
        <f>IF(OR(B9="",F9=0),"",G9/F9)</f>
        <v/>
      </c>
      <c r="I9" s="0">
        <f>IF(H9="","",IF(H9&gt;=IF(OR(E9="A",E9="B",E9="C"),80%,40%),"Met","Not Met"))</f>
        <v/>
      </c>
    </row>
    <row r="10">
      <c r="A10" s="0" t="inlineStr">
        <is>
          <t>Attendee 9</t>
        </is>
      </c>
      <c r="B10" s="24" t="n">
        <v>45474</v>
      </c>
      <c r="C10" s="0">
        <f>IFERROR(VLOOKUP(A10,'List1_ContactInfo'!$A$2:$B$58,2,FALSE),"")</f>
        <v/>
      </c>
      <c r="D10" s="0">
        <f>IFERROR(VLOOKUP(A10,'List2_Department'!$A$2:$B$51,2,FALSE),"")</f>
        <v/>
      </c>
      <c r="E10" s="0">
        <f>IFERROR(VLOOKUP(D10,'List2_Department'!$D$3:$E$7,2,FALSE),"")</f>
        <v/>
      </c>
      <c r="F10" s="0">
        <f>IF(B10="","",DATE(YEAR(B10),MONTH(B10),5)-DATE(YEAR(B10),MONTH(B10),1)+1)</f>
        <v/>
      </c>
      <c r="G10" s="0">
        <f>IF(B10="","",SUMIF('List3_Details'!$A$2:$A$251,A10,'List3_Details'!$E$2:$E$251))</f>
        <v/>
      </c>
      <c r="H10" s="16">
        <f>IF(OR(B10="",F10=0),"",G10/F10)</f>
        <v/>
      </c>
      <c r="I10" s="0">
        <f>IF(H10="","",IF(H10&gt;=IF(OR(E10="A",E10="B",E10="C"),80%,40%),"Met","Not Met"))</f>
        <v/>
      </c>
    </row>
    <row r="11">
      <c r="A11" s="0" t="inlineStr">
        <is>
          <t>Attendee 10</t>
        </is>
      </c>
      <c r="B11" s="24" t="n">
        <v>45474</v>
      </c>
      <c r="C11" s="0">
        <f>IFERROR(VLOOKUP(A11,'List1_ContactInfo'!$A$2:$B$58,2,FALSE),"")</f>
        <v/>
      </c>
      <c r="D11" s="0">
        <f>IFERROR(VLOOKUP(A11,'List2_Department'!$A$2:$B$51,2,FALSE),"")</f>
        <v/>
      </c>
      <c r="E11" s="0">
        <f>IFERROR(VLOOKUP(D11,'List2_Department'!$D$3:$E$7,2,FALSE),"")</f>
        <v/>
      </c>
      <c r="F11" s="0">
        <f>IF(B11="","",DATE(YEAR(B11),MONTH(B11),5)-DATE(YEAR(B11),MONTH(B11),1)+1)</f>
        <v/>
      </c>
      <c r="G11" s="0">
        <f>IF(B11="","",SUMIF('List3_Details'!$A$2:$A$251,A11,'List3_Details'!$E$2:$E$251))</f>
        <v/>
      </c>
      <c r="H11" s="16">
        <f>IF(OR(B11="",F11=0),"",G11/F11)</f>
        <v/>
      </c>
      <c r="I11" s="0">
        <f>IF(H11="","",IF(H11&gt;=IF(OR(E11="A",E11="B",E11="C"),80%,40%),"Met","Not Met"))</f>
        <v/>
      </c>
    </row>
    <row r="12">
      <c r="A12" s="0" t="inlineStr">
        <is>
          <t>Attendee 11</t>
        </is>
      </c>
      <c r="B12" s="24" t="n">
        <v>45474</v>
      </c>
      <c r="C12" s="0">
        <f>IFERROR(VLOOKUP(A12,'List1_ContactInfo'!$A$2:$B$58,2,FALSE),"")</f>
        <v/>
      </c>
      <c r="D12" s="0">
        <f>IFERROR(VLOOKUP(A12,'List2_Department'!$A$2:$B$51,2,FALSE),"")</f>
        <v/>
      </c>
      <c r="E12" s="0">
        <f>IFERROR(VLOOKUP(D12,'List2_Department'!$D$3:$E$7,2,FALSE),"")</f>
        <v/>
      </c>
      <c r="F12" s="0">
        <f>IF(B12="","",DATE(YEAR(B12),MONTH(B12),5)-DATE(YEAR(B12),MONTH(B12),1)+1)</f>
        <v/>
      </c>
      <c r="G12" s="0">
        <f>IF(B12="","",SUMIF('List3_Details'!$A$2:$A$251,A12,'List3_Details'!$E$2:$E$251))</f>
        <v/>
      </c>
      <c r="H12" s="16">
        <f>IF(OR(B12="",F12=0),"",G12/F12)</f>
        <v/>
      </c>
      <c r="I12" s="0">
        <f>IF(H12="","",IF(H12&gt;=IF(OR(E12="A",E12="B",E12="C"),80%,40%),"Met","Not Met"))</f>
        <v/>
      </c>
    </row>
    <row r="13">
      <c r="A13" s="0" t="inlineStr">
        <is>
          <t>Attendee 12</t>
        </is>
      </c>
      <c r="B13" s="24" t="n">
        <v>45474</v>
      </c>
      <c r="C13" s="0">
        <f>IFERROR(VLOOKUP(A13,'List1_ContactInfo'!$A$2:$B$58,2,FALSE),"")</f>
        <v/>
      </c>
      <c r="D13" s="0">
        <f>IFERROR(VLOOKUP(A13,'List2_Department'!$A$2:$B$51,2,FALSE),"")</f>
        <v/>
      </c>
      <c r="E13" s="0">
        <f>IFERROR(VLOOKUP(D13,'List2_Department'!$D$3:$E$7,2,FALSE),"")</f>
        <v/>
      </c>
      <c r="F13" s="0">
        <f>IF(B13="","",DATE(YEAR(B13),MONTH(B13),5)-DATE(YEAR(B13),MONTH(B13),1)+1)</f>
        <v/>
      </c>
      <c r="G13" s="0">
        <f>IF(B13="","",SUMIF('List3_Details'!$A$2:$A$251,A13,'List3_Details'!$E$2:$E$251))</f>
        <v/>
      </c>
      <c r="H13" s="16">
        <f>IF(OR(B13="",F13=0),"",G13/F13)</f>
        <v/>
      </c>
      <c r="I13" s="0">
        <f>IF(H13="","",IF(H13&gt;=IF(OR(E13="A",E13="B",E13="C"),80%,40%),"Met","Not Met"))</f>
        <v/>
      </c>
    </row>
    <row r="14">
      <c r="A14" s="0" t="inlineStr">
        <is>
          <t>Attendee 13</t>
        </is>
      </c>
      <c r="B14" s="24" t="n">
        <v>45474</v>
      </c>
      <c r="C14" s="0">
        <f>IFERROR(VLOOKUP(A14,'List1_ContactInfo'!$A$2:$B$58,2,FALSE),"")</f>
        <v/>
      </c>
      <c r="D14" s="0">
        <f>IFERROR(VLOOKUP(A14,'List2_Department'!$A$2:$B$51,2,FALSE),"")</f>
        <v/>
      </c>
      <c r="E14" s="0">
        <f>IFERROR(VLOOKUP(D14,'List2_Department'!$D$3:$E$7,2,FALSE),"")</f>
        <v/>
      </c>
      <c r="F14" s="0">
        <f>IF(B14="","",DATE(YEAR(B14),MONTH(B14),5)-DATE(YEAR(B14),MONTH(B14),1)+1)</f>
        <v/>
      </c>
      <c r="G14" s="0">
        <f>IF(B14="","",SUMIF('List3_Details'!$A$2:$A$251,A14,'List3_Details'!$E$2:$E$251))</f>
        <v/>
      </c>
      <c r="H14" s="16">
        <f>IF(OR(B14="",F14=0),"",G14/F14)</f>
        <v/>
      </c>
      <c r="I14" s="0">
        <f>IF(H14="","",IF(H14&gt;=IF(OR(E14="A",E14="B",E14="C"),80%,40%),"Met","Not Met"))</f>
        <v/>
      </c>
    </row>
    <row r="15">
      <c r="A15" s="0" t="inlineStr">
        <is>
          <t>Attendee 14</t>
        </is>
      </c>
      <c r="B15" s="24" t="n">
        <v>45474</v>
      </c>
      <c r="C15" s="0">
        <f>IFERROR(VLOOKUP(A15,'List1_ContactInfo'!$A$2:$B$58,2,FALSE),"")</f>
        <v/>
      </c>
      <c r="D15" s="0">
        <f>IFERROR(VLOOKUP(A15,'List2_Department'!$A$2:$B$51,2,FALSE),"")</f>
        <v/>
      </c>
      <c r="E15" s="0">
        <f>IFERROR(VLOOKUP(D15,'List2_Department'!$D$3:$E$7,2,FALSE),"")</f>
        <v/>
      </c>
      <c r="F15" s="0">
        <f>IF(B15="","",DATE(YEAR(B15),MONTH(B15),5)-DATE(YEAR(B15),MONTH(B15),1)+1)</f>
        <v/>
      </c>
      <c r="G15" s="0">
        <f>IF(B15="","",SUMIF('List3_Details'!$A$2:$A$251,A15,'List3_Details'!$E$2:$E$251))</f>
        <v/>
      </c>
      <c r="H15" s="16">
        <f>IF(OR(B15="",F15=0),"",G15/F15)</f>
        <v/>
      </c>
      <c r="I15" s="0">
        <f>IF(H15="","",IF(H15&gt;=IF(OR(E15="A",E15="B",E15="C"),80%,40%),"Met","Not Met"))</f>
        <v/>
      </c>
    </row>
    <row r="16">
      <c r="A16" s="0" t="inlineStr">
        <is>
          <t>Attendee 15</t>
        </is>
      </c>
      <c r="B16" s="24" t="n">
        <v>45474</v>
      </c>
      <c r="C16" s="0">
        <f>IFERROR(VLOOKUP(A16,'List1_ContactInfo'!$A$2:$B$58,2,FALSE),"")</f>
        <v/>
      </c>
      <c r="D16" s="0">
        <f>IFERROR(VLOOKUP(A16,'List2_Department'!$A$2:$B$51,2,FALSE),"")</f>
        <v/>
      </c>
      <c r="E16" s="0">
        <f>IFERROR(VLOOKUP(D16,'List2_Department'!$D$3:$E$7,2,FALSE),"")</f>
        <v/>
      </c>
      <c r="F16" s="0">
        <f>IF(B16="","",DATE(YEAR(B16),MONTH(B16),5)-DATE(YEAR(B16),MONTH(B16),1)+1)</f>
        <v/>
      </c>
      <c r="G16" s="0">
        <f>IF(B16="","",SUMIF('List3_Details'!$A$2:$A$251,A16,'List3_Details'!$E$2:$E$251))</f>
        <v/>
      </c>
      <c r="H16" s="16">
        <f>IF(OR(B16="",F16=0),"",G16/F16)</f>
        <v/>
      </c>
      <c r="I16" s="0">
        <f>IF(H16="","",IF(H16&gt;=IF(OR(E16="A",E16="B",E16="C"),80%,40%),"Met","Not Met"))</f>
        <v/>
      </c>
    </row>
    <row r="17">
      <c r="A17" s="0" t="inlineStr">
        <is>
          <t>Attendee 16</t>
        </is>
      </c>
      <c r="B17" s="24" t="n">
        <v>45474</v>
      </c>
      <c r="C17" s="0">
        <f>IFERROR(VLOOKUP(A17,'List1_ContactInfo'!$A$2:$B$58,2,FALSE),"")</f>
        <v/>
      </c>
      <c r="D17" s="0">
        <f>IFERROR(VLOOKUP(A17,'List2_Department'!$A$2:$B$51,2,FALSE),"")</f>
        <v/>
      </c>
      <c r="E17" s="0">
        <f>IFERROR(VLOOKUP(D17,'List2_Department'!$D$3:$E$7,2,FALSE),"")</f>
        <v/>
      </c>
      <c r="F17" s="0">
        <f>IF(B17="","",DATE(YEAR(B17),MONTH(B17),5)-DATE(YEAR(B17),MONTH(B17),1)+1)</f>
        <v/>
      </c>
      <c r="G17" s="0">
        <f>IF(B17="","",SUMIF('List3_Details'!$A$2:$A$251,A17,'List3_Details'!$E$2:$E$251))</f>
        <v/>
      </c>
      <c r="H17" s="16">
        <f>IF(OR(B17="",F17=0),"",G17/F17)</f>
        <v/>
      </c>
      <c r="I17" s="0">
        <f>IF(H17="","",IF(H17&gt;=IF(OR(E17="A",E17="B",E17="C"),80%,40%),"Met","Not Met"))</f>
        <v/>
      </c>
    </row>
    <row r="18">
      <c r="A18" s="0" t="inlineStr">
        <is>
          <t>Attendee 17</t>
        </is>
      </c>
      <c r="B18" s="24" t="n">
        <v>45474</v>
      </c>
      <c r="C18" s="0">
        <f>IFERROR(VLOOKUP(A18,'List1_ContactInfo'!$A$2:$B$58,2,FALSE),"")</f>
        <v/>
      </c>
      <c r="D18" s="0">
        <f>IFERROR(VLOOKUP(A18,'List2_Department'!$A$2:$B$51,2,FALSE),"")</f>
        <v/>
      </c>
      <c r="E18" s="0">
        <f>IFERROR(VLOOKUP(D18,'List2_Department'!$D$3:$E$7,2,FALSE),"")</f>
        <v/>
      </c>
      <c r="F18" s="0">
        <f>IF(B18="","",DATE(YEAR(B18),MONTH(B18),5)-DATE(YEAR(B18),MONTH(B18),1)+1)</f>
        <v/>
      </c>
      <c r="G18" s="0">
        <f>IF(B18="","",SUMIF('List3_Details'!$A$2:$A$251,A18,'List3_Details'!$E$2:$E$251))</f>
        <v/>
      </c>
      <c r="H18" s="16">
        <f>IF(OR(B18="",F18=0),"",G18/F18)</f>
        <v/>
      </c>
      <c r="I18" s="0">
        <f>IF(H18="","",IF(H18&gt;=IF(OR(E18="A",E18="B",E18="C"),80%,40%),"Met","Not Met"))</f>
        <v/>
      </c>
    </row>
    <row r="19">
      <c r="A19" s="0" t="inlineStr">
        <is>
          <t>Attendee 18</t>
        </is>
      </c>
      <c r="B19" s="24" t="n">
        <v>45474</v>
      </c>
      <c r="C19" s="0">
        <f>IFERROR(VLOOKUP(A19,'List1_ContactInfo'!$A$2:$B$58,2,FALSE),"")</f>
        <v/>
      </c>
      <c r="D19" s="0">
        <f>IFERROR(VLOOKUP(A19,'List2_Department'!$A$2:$B$51,2,FALSE),"")</f>
        <v/>
      </c>
      <c r="E19" s="0">
        <f>IFERROR(VLOOKUP(D19,'List2_Department'!$D$3:$E$7,2,FALSE),"")</f>
        <v/>
      </c>
      <c r="F19" s="0">
        <f>IF(B19="","",DATE(YEAR(B19),MONTH(B19),5)-DATE(YEAR(B19),MONTH(B19),1)+1)</f>
        <v/>
      </c>
      <c r="G19" s="0">
        <f>IF(B19="","",SUMIF('List3_Details'!$A$2:$A$251,A19,'List3_Details'!$E$2:$E$251))</f>
        <v/>
      </c>
      <c r="H19" s="16">
        <f>IF(OR(B19="",F19=0),"",G19/F19)</f>
        <v/>
      </c>
      <c r="I19" s="0">
        <f>IF(H19="","",IF(H19&gt;=IF(OR(E19="A",E19="B",E19="C"),80%,40%),"Met","Not Met"))</f>
        <v/>
      </c>
    </row>
    <row r="20">
      <c r="A20" s="0" t="inlineStr">
        <is>
          <t>Attendee 19</t>
        </is>
      </c>
      <c r="B20" s="24" t="n">
        <v>45474</v>
      </c>
      <c r="C20" s="0">
        <f>IFERROR(VLOOKUP(A20,'List1_ContactInfo'!$A$2:$B$58,2,FALSE),"")</f>
        <v/>
      </c>
      <c r="D20" s="0">
        <f>IFERROR(VLOOKUP(A20,'List2_Department'!$A$2:$B$51,2,FALSE),"")</f>
        <v/>
      </c>
      <c r="E20" s="0">
        <f>IFERROR(VLOOKUP(D20,'List2_Department'!$D$3:$E$7,2,FALSE),"")</f>
        <v/>
      </c>
      <c r="F20" s="0">
        <f>IF(B20="","",DATE(YEAR(B20),MONTH(B20),5)-DATE(YEAR(B20),MONTH(B20),1)+1)</f>
        <v/>
      </c>
      <c r="G20" s="0">
        <f>IF(B20="","",SUMIF('List3_Details'!$A$2:$A$251,A20,'List3_Details'!$E$2:$E$251))</f>
        <v/>
      </c>
      <c r="H20" s="16">
        <f>IF(OR(B20="",F20=0),"",G20/F20)</f>
        <v/>
      </c>
      <c r="I20" s="0">
        <f>IF(H20="","",IF(H20&gt;=IF(OR(E20="A",E20="B",E20="C"),80%,40%),"Met","Not Met"))</f>
        <v/>
      </c>
    </row>
    <row r="21">
      <c r="A21" s="0" t="inlineStr">
        <is>
          <t>Attendee 20</t>
        </is>
      </c>
      <c r="B21" s="24" t="n">
        <v>45474</v>
      </c>
      <c r="C21" s="0">
        <f>IFERROR(VLOOKUP(A21,'List1_ContactInfo'!$A$2:$B$58,2,FALSE),"")</f>
        <v/>
      </c>
      <c r="D21" s="0">
        <f>IFERROR(VLOOKUP(A21,'List2_Department'!$A$2:$B$51,2,FALSE),"")</f>
        <v/>
      </c>
      <c r="E21" s="0">
        <f>IFERROR(VLOOKUP(D21,'List2_Department'!$D$3:$E$7,2,FALSE),"")</f>
        <v/>
      </c>
      <c r="F21" s="0">
        <f>IF(B21="","",DATE(YEAR(B21),MONTH(B21),5)-DATE(YEAR(B21),MONTH(B21),1)+1)</f>
        <v/>
      </c>
      <c r="G21" s="0">
        <f>IF(B21="","",SUMIF('List3_Details'!$A$2:$A$251,A21,'List3_Details'!$E$2:$E$251))</f>
        <v/>
      </c>
      <c r="H21" s="16">
        <f>IF(OR(B21="",F21=0),"",G21/F21)</f>
        <v/>
      </c>
      <c r="I21" s="0">
        <f>IF(H21="","",IF(H21&gt;=IF(OR(E21="A",E21="B",E21="C"),80%,40%),"Met","Not Met"))</f>
        <v/>
      </c>
    </row>
    <row r="22">
      <c r="A22" s="0" t="inlineStr">
        <is>
          <t>Attendee 21</t>
        </is>
      </c>
      <c r="B22" s="24" t="n">
        <v>45474</v>
      </c>
      <c r="C22" s="0">
        <f>IFERROR(VLOOKUP(A22,'List1_ContactInfo'!$A$2:$B$58,2,FALSE),"")</f>
        <v/>
      </c>
      <c r="D22" s="0">
        <f>IFERROR(VLOOKUP(A22,'List2_Department'!$A$2:$B$51,2,FALSE),"")</f>
        <v/>
      </c>
      <c r="E22" s="0">
        <f>IFERROR(VLOOKUP(D22,'List2_Department'!$D$3:$E$7,2,FALSE),"")</f>
        <v/>
      </c>
      <c r="F22" s="0">
        <f>IF(B22="","",DATE(YEAR(B22),MONTH(B22),5)-DATE(YEAR(B22),MONTH(B22),1)+1)</f>
        <v/>
      </c>
      <c r="G22" s="0">
        <f>IF(B22="","",SUMIF('List3_Details'!$A$2:$A$251,A22,'List3_Details'!$E$2:$E$251))</f>
        <v/>
      </c>
      <c r="H22" s="16">
        <f>IF(OR(B22="",F22=0),"",G22/F22)</f>
        <v/>
      </c>
      <c r="I22" s="0">
        <f>IF(H22="","",IF(H22&gt;=IF(OR(E22="A",E22="B",E22="C"),80%,40%),"Met","Not Met"))</f>
        <v/>
      </c>
    </row>
    <row r="23">
      <c r="A23" s="0" t="inlineStr">
        <is>
          <t>Attendee 22</t>
        </is>
      </c>
      <c r="B23" s="24" t="n">
        <v>45474</v>
      </c>
      <c r="C23" s="0">
        <f>IFERROR(VLOOKUP(A23,'List1_ContactInfo'!$A$2:$B$58,2,FALSE),"")</f>
        <v/>
      </c>
      <c r="D23" s="0">
        <f>IFERROR(VLOOKUP(A23,'List2_Department'!$A$2:$B$51,2,FALSE),"")</f>
        <v/>
      </c>
      <c r="E23" s="0">
        <f>IFERROR(VLOOKUP(D23,'List2_Department'!$D$3:$E$7,2,FALSE),"")</f>
        <v/>
      </c>
      <c r="F23" s="0">
        <f>IF(B23="","",DATE(YEAR(B23),MONTH(B23),5)-DATE(YEAR(B23),MONTH(B23),1)+1)</f>
        <v/>
      </c>
      <c r="G23" s="0">
        <f>IF(B23="","",SUMIF('List3_Details'!$A$2:$A$251,A23,'List3_Details'!$E$2:$E$251))</f>
        <v/>
      </c>
      <c r="H23" s="16">
        <f>IF(OR(B23="",F23=0),"",G23/F23)</f>
        <v/>
      </c>
      <c r="I23" s="0">
        <f>IF(H23="","",IF(H23&gt;=IF(OR(E23="A",E23="B",E23="C"),80%,40%),"Met","Not Met"))</f>
        <v/>
      </c>
    </row>
    <row r="24">
      <c r="A24" s="0" t="inlineStr">
        <is>
          <t>Attendee 23</t>
        </is>
      </c>
      <c r="B24" s="24" t="n">
        <v>45474</v>
      </c>
      <c r="C24" s="0">
        <f>IFERROR(VLOOKUP(A24,'List1_ContactInfo'!$A$2:$B$58,2,FALSE),"")</f>
        <v/>
      </c>
      <c r="D24" s="0">
        <f>IFERROR(VLOOKUP(A24,'List2_Department'!$A$2:$B$51,2,FALSE),"")</f>
        <v/>
      </c>
      <c r="E24" s="0">
        <f>IFERROR(VLOOKUP(D24,'List2_Department'!$D$3:$E$7,2,FALSE),"")</f>
        <v/>
      </c>
      <c r="F24" s="0">
        <f>IF(B24="","",DATE(YEAR(B24),MONTH(B24),5)-DATE(YEAR(B24),MONTH(B24),1)+1)</f>
        <v/>
      </c>
      <c r="G24" s="0">
        <f>IF(B24="","",SUMIF('List3_Details'!$A$2:$A$251,A24,'List3_Details'!$E$2:$E$251))</f>
        <v/>
      </c>
      <c r="H24" s="16">
        <f>IF(OR(B24="",F24=0),"",G24/F24)</f>
        <v/>
      </c>
      <c r="I24" s="0">
        <f>IF(H24="","",IF(H24&gt;=IF(OR(E24="A",E24="B",E24="C"),80%,40%),"Met","Not Met"))</f>
        <v/>
      </c>
    </row>
    <row r="25">
      <c r="A25" s="0" t="inlineStr">
        <is>
          <t>Attendee 24</t>
        </is>
      </c>
      <c r="B25" s="24" t="n">
        <v>45474</v>
      </c>
      <c r="C25" s="0">
        <f>IFERROR(VLOOKUP(A25,'List1_ContactInfo'!$A$2:$B$58,2,FALSE),"")</f>
        <v/>
      </c>
      <c r="D25" s="0">
        <f>IFERROR(VLOOKUP(A25,'List2_Department'!$A$2:$B$51,2,FALSE),"")</f>
        <v/>
      </c>
      <c r="E25" s="0">
        <f>IFERROR(VLOOKUP(D25,'List2_Department'!$D$3:$E$7,2,FALSE),"")</f>
        <v/>
      </c>
      <c r="F25" s="0">
        <f>IF(B25="","",DATE(YEAR(B25),MONTH(B25),5)-DATE(YEAR(B25),MONTH(B25),1)+1)</f>
        <v/>
      </c>
      <c r="G25" s="0">
        <f>IF(B25="","",SUMIF('List3_Details'!$A$2:$A$251,A25,'List3_Details'!$E$2:$E$251))</f>
        <v/>
      </c>
      <c r="H25" s="16">
        <f>IF(OR(B25="",F25=0),"",G25/F25)</f>
        <v/>
      </c>
      <c r="I25" s="0">
        <f>IF(H25="","",IF(H25&gt;=IF(OR(E25="A",E25="B",E25="C"),80%,40%),"Met","Not Met"))</f>
        <v/>
      </c>
    </row>
    <row r="26">
      <c r="A26" s="0" t="inlineStr">
        <is>
          <t>Attendee 25</t>
        </is>
      </c>
      <c r="B26" s="24" t="n">
        <v>45474</v>
      </c>
      <c r="C26" s="0">
        <f>IFERROR(VLOOKUP(A26,'List1_ContactInfo'!$A$2:$B$58,2,FALSE),"")</f>
        <v/>
      </c>
      <c r="D26" s="0">
        <f>IFERROR(VLOOKUP(A26,'List2_Department'!$A$2:$B$51,2,FALSE),"")</f>
        <v/>
      </c>
      <c r="E26" s="0">
        <f>IFERROR(VLOOKUP(D26,'List2_Department'!$D$3:$E$7,2,FALSE),"")</f>
        <v/>
      </c>
      <c r="F26" s="0">
        <f>IF(B26="","",DATE(YEAR(B26),MONTH(B26),5)-DATE(YEAR(B26),MONTH(B26),1)+1)</f>
        <v/>
      </c>
      <c r="G26" s="0">
        <f>IF(B26="","",SUMIF('List3_Details'!$A$2:$A$251,A26,'List3_Details'!$E$2:$E$251))</f>
        <v/>
      </c>
      <c r="H26" s="16">
        <f>IF(OR(B26="",F26=0),"",G26/F26)</f>
        <v/>
      </c>
      <c r="I26" s="0">
        <f>IF(H26="","",IF(H26&gt;=IF(OR(E26="A",E26="B",E26="C"),80%,40%),"Met","Not Met"))</f>
        <v/>
      </c>
    </row>
    <row r="27">
      <c r="A27" s="0" t="inlineStr">
        <is>
          <t>Attendee 26</t>
        </is>
      </c>
      <c r="B27" s="24" t="n">
        <v>45474</v>
      </c>
      <c r="C27" s="0">
        <f>IFERROR(VLOOKUP(A27,'List1_ContactInfo'!$A$2:$B$58,2,FALSE),"")</f>
        <v/>
      </c>
      <c r="D27" s="0">
        <f>IFERROR(VLOOKUP(A27,'List2_Department'!$A$2:$B$51,2,FALSE),"")</f>
        <v/>
      </c>
      <c r="E27" s="0">
        <f>IFERROR(VLOOKUP(D27,'List2_Department'!$D$3:$E$7,2,FALSE),"")</f>
        <v/>
      </c>
      <c r="F27" s="0">
        <f>IF(B27="","",DATE(YEAR(B27),MONTH(B27),5)-DATE(YEAR(B27),MONTH(B27),1)+1)</f>
        <v/>
      </c>
      <c r="G27" s="0">
        <f>IF(B27="","",SUMIF('List3_Details'!$A$2:$A$251,A27,'List3_Details'!$E$2:$E$251))</f>
        <v/>
      </c>
      <c r="H27" s="16">
        <f>IF(OR(B27="",F27=0),"",G27/F27)</f>
        <v/>
      </c>
      <c r="I27" s="0">
        <f>IF(H27="","",IF(H27&gt;=IF(OR(E27="A",E27="B",E27="C"),80%,40%),"Met","Not Met"))</f>
        <v/>
      </c>
    </row>
    <row r="28">
      <c r="A28" s="0" t="inlineStr">
        <is>
          <t>Attendee 27</t>
        </is>
      </c>
      <c r="B28" s="24" t="n">
        <v>45474</v>
      </c>
      <c r="C28" s="0">
        <f>IFERROR(VLOOKUP(A28,'List1_ContactInfo'!$A$2:$B$58,2,FALSE),"")</f>
        <v/>
      </c>
      <c r="D28" s="0">
        <f>IFERROR(VLOOKUP(A28,'List2_Department'!$A$2:$B$51,2,FALSE),"")</f>
        <v/>
      </c>
      <c r="E28" s="0">
        <f>IFERROR(VLOOKUP(D28,'List2_Department'!$D$3:$E$7,2,FALSE),"")</f>
        <v/>
      </c>
      <c r="F28" s="0">
        <f>IF(B28="","",DATE(YEAR(B28),MONTH(B28),5)-DATE(YEAR(B28),MONTH(B28),1)+1)</f>
        <v/>
      </c>
      <c r="G28" s="0">
        <f>IF(B28="","",SUMIF('List3_Details'!$A$2:$A$251,A28,'List3_Details'!$E$2:$E$251))</f>
        <v/>
      </c>
      <c r="H28" s="16">
        <f>IF(OR(B28="",F28=0),"",G28/F28)</f>
        <v/>
      </c>
      <c r="I28" s="0">
        <f>IF(H28="","",IF(H28&gt;=IF(OR(E28="A",E28="B",E28="C"),80%,40%),"Met","Not Met"))</f>
        <v/>
      </c>
    </row>
    <row r="29">
      <c r="A29" s="0" t="inlineStr">
        <is>
          <t>Attendee 28</t>
        </is>
      </c>
      <c r="B29" s="24" t="n">
        <v>45474</v>
      </c>
      <c r="C29" s="0">
        <f>IFERROR(VLOOKUP(A29,'List1_ContactInfo'!$A$2:$B$58,2,FALSE),"")</f>
        <v/>
      </c>
      <c r="D29" s="0">
        <f>IFERROR(VLOOKUP(A29,'List2_Department'!$A$2:$B$51,2,FALSE),"")</f>
        <v/>
      </c>
      <c r="E29" s="0">
        <f>IFERROR(VLOOKUP(D29,'List2_Department'!$D$3:$E$7,2,FALSE),"")</f>
        <v/>
      </c>
      <c r="F29" s="0">
        <f>IF(B29="","",DATE(YEAR(B29),MONTH(B29),5)-DATE(YEAR(B29),MONTH(B29),1)+1)</f>
        <v/>
      </c>
      <c r="G29" s="0">
        <f>IF(B29="","",SUMIF('List3_Details'!$A$2:$A$251,A29,'List3_Details'!$E$2:$E$251))</f>
        <v/>
      </c>
      <c r="H29" s="16">
        <f>IF(OR(B29="",F29=0),"",G29/F29)</f>
        <v/>
      </c>
      <c r="I29" s="0">
        <f>IF(H29="","",IF(H29&gt;=IF(OR(E29="A",E29="B",E29="C"),80%,40%),"Met","Not Met"))</f>
        <v/>
      </c>
    </row>
    <row r="30">
      <c r="A30" s="0" t="inlineStr">
        <is>
          <t>Attendee 29</t>
        </is>
      </c>
      <c r="B30" s="24" t="n">
        <v>45474</v>
      </c>
      <c r="C30" s="0">
        <f>IFERROR(VLOOKUP(A30,'List1_ContactInfo'!$A$2:$B$58,2,FALSE),"")</f>
        <v/>
      </c>
      <c r="D30" s="0">
        <f>IFERROR(VLOOKUP(A30,'List2_Department'!$A$2:$B$51,2,FALSE),"")</f>
        <v/>
      </c>
      <c r="E30" s="0">
        <f>IFERROR(VLOOKUP(D30,'List2_Department'!$D$3:$E$7,2,FALSE),"")</f>
        <v/>
      </c>
      <c r="F30" s="0">
        <f>IF(B30="","",DATE(YEAR(B30),MONTH(B30),5)-DATE(YEAR(B30),MONTH(B30),1)+1)</f>
        <v/>
      </c>
      <c r="G30" s="0">
        <f>IF(B30="","",SUMIF('List3_Details'!$A$2:$A$251,A30,'List3_Details'!$E$2:$E$251))</f>
        <v/>
      </c>
      <c r="H30" s="16">
        <f>IF(OR(B30="",F30=0),"",G30/F30)</f>
        <v/>
      </c>
      <c r="I30" s="0">
        <f>IF(H30="","",IF(H30&gt;=IF(OR(E30="A",E30="B",E30="C"),80%,40%),"Met","Not Met"))</f>
        <v/>
      </c>
    </row>
    <row r="31">
      <c r="A31" s="0" t="inlineStr">
        <is>
          <t>Attendee 30</t>
        </is>
      </c>
      <c r="B31" s="24" t="n">
        <v>45474</v>
      </c>
      <c r="C31" s="0">
        <f>IFERROR(VLOOKUP(A31,'List1_ContactInfo'!$A$2:$B$58,2,FALSE),"")</f>
        <v/>
      </c>
      <c r="D31" s="0">
        <f>IFERROR(VLOOKUP(A31,'List2_Department'!$A$2:$B$51,2,FALSE),"")</f>
        <v/>
      </c>
      <c r="E31" s="0">
        <f>IFERROR(VLOOKUP(D31,'List2_Department'!$D$3:$E$7,2,FALSE),"")</f>
        <v/>
      </c>
      <c r="F31" s="0">
        <f>IF(B31="","",DATE(YEAR(B31),MONTH(B31),5)-DATE(YEAR(B31),MONTH(B31),1)+1)</f>
        <v/>
      </c>
      <c r="G31" s="0">
        <f>IF(B31="","",SUMIF('List3_Details'!$A$2:$A$251,A31,'List3_Details'!$E$2:$E$251))</f>
        <v/>
      </c>
      <c r="H31" s="16">
        <f>IF(OR(B31="",F31=0),"",G31/F31)</f>
        <v/>
      </c>
      <c r="I31" s="0">
        <f>IF(H31="","",IF(H31&gt;=IF(OR(E31="A",E31="B",E31="C"),80%,40%),"Met","Not Met"))</f>
        <v/>
      </c>
    </row>
    <row r="32">
      <c r="A32" s="0" t="inlineStr">
        <is>
          <t>Attendee 31</t>
        </is>
      </c>
      <c r="B32" s="24" t="n">
        <v>45474</v>
      </c>
      <c r="C32" s="0">
        <f>IFERROR(VLOOKUP(A32,'List1_ContactInfo'!$A$2:$B$58,2,FALSE),"")</f>
        <v/>
      </c>
      <c r="D32" s="0">
        <f>IFERROR(VLOOKUP(A32,'List2_Department'!$A$2:$B$51,2,FALSE),"")</f>
        <v/>
      </c>
      <c r="E32" s="0">
        <f>IFERROR(VLOOKUP(D32,'List2_Department'!$D$3:$E$7,2,FALSE),"")</f>
        <v/>
      </c>
      <c r="F32" s="0">
        <f>IF(B32="","",DATE(YEAR(B32),MONTH(B32),5)-DATE(YEAR(B32),MONTH(B32),1)+1)</f>
        <v/>
      </c>
      <c r="G32" s="0">
        <f>IF(B32="","",SUMIF('List3_Details'!$A$2:$A$251,A32,'List3_Details'!$E$2:$E$251))</f>
        <v/>
      </c>
      <c r="H32" s="16">
        <f>IF(OR(B32="",F32=0),"",G32/F32)</f>
        <v/>
      </c>
      <c r="I32" s="0">
        <f>IF(H32="","",IF(H32&gt;=IF(OR(E32="A",E32="B",E32="C"),80%,40%),"Met","Not Met"))</f>
        <v/>
      </c>
    </row>
    <row r="33">
      <c r="A33" s="0" t="inlineStr">
        <is>
          <t>Attendee 32</t>
        </is>
      </c>
      <c r="B33" s="24" t="n">
        <v>45474</v>
      </c>
      <c r="C33" s="0">
        <f>IFERROR(VLOOKUP(A33,'List1_ContactInfo'!$A$2:$B$58,2,FALSE),"")</f>
        <v/>
      </c>
      <c r="D33" s="0">
        <f>IFERROR(VLOOKUP(A33,'List2_Department'!$A$2:$B$51,2,FALSE),"")</f>
        <v/>
      </c>
      <c r="E33" s="0">
        <f>IFERROR(VLOOKUP(D33,'List2_Department'!$D$3:$E$7,2,FALSE),"")</f>
        <v/>
      </c>
      <c r="F33" s="0">
        <f>IF(B33="","",DATE(YEAR(B33),MONTH(B33),5)-DATE(YEAR(B33),MONTH(B33),1)+1)</f>
        <v/>
      </c>
      <c r="G33" s="0">
        <f>IF(B33="","",SUMIF('List3_Details'!$A$2:$A$251,A33,'List3_Details'!$E$2:$E$251))</f>
        <v/>
      </c>
      <c r="H33" s="16">
        <f>IF(OR(B33="",F33=0),"",G33/F33)</f>
        <v/>
      </c>
      <c r="I33" s="0">
        <f>IF(H33="","",IF(H33&gt;=IF(OR(E33="A",E33="B",E33="C"),80%,40%),"Met","Not Met"))</f>
        <v/>
      </c>
    </row>
    <row r="34">
      <c r="A34" s="0" t="inlineStr">
        <is>
          <t>Attendee 33</t>
        </is>
      </c>
      <c r="B34" s="24" t="n">
        <v>45474</v>
      </c>
      <c r="C34" s="0">
        <f>IFERROR(VLOOKUP(A34,'List1_ContactInfo'!$A$2:$B$58,2,FALSE),"")</f>
        <v/>
      </c>
      <c r="D34" s="0">
        <f>IFERROR(VLOOKUP(A34,'List2_Department'!$A$2:$B$51,2,FALSE),"")</f>
        <v/>
      </c>
      <c r="E34" s="0">
        <f>IFERROR(VLOOKUP(D34,'List2_Department'!$D$3:$E$7,2,FALSE),"")</f>
        <v/>
      </c>
      <c r="F34" s="0">
        <f>IF(B34="","",DATE(YEAR(B34),MONTH(B34),5)-DATE(YEAR(B34),MONTH(B34),1)+1)</f>
        <v/>
      </c>
      <c r="G34" s="0">
        <f>IF(B34="","",SUMIF('List3_Details'!$A$2:$A$251,A34,'List3_Details'!$E$2:$E$251))</f>
        <v/>
      </c>
      <c r="H34" s="16">
        <f>IF(OR(B34="",F34=0),"",G34/F34)</f>
        <v/>
      </c>
      <c r="I34" s="0">
        <f>IF(H34="","",IF(H34&gt;=IF(OR(E34="A",E34="B",E34="C"),80%,40%),"Met","Not Met"))</f>
        <v/>
      </c>
    </row>
    <row r="35">
      <c r="A35" s="0" t="inlineStr">
        <is>
          <t>Attendee 34</t>
        </is>
      </c>
      <c r="B35" s="24" t="n">
        <v>45474</v>
      </c>
      <c r="C35" s="0">
        <f>IFERROR(VLOOKUP(A35,'List1_ContactInfo'!$A$2:$B$58,2,FALSE),"")</f>
        <v/>
      </c>
      <c r="D35" s="0">
        <f>IFERROR(VLOOKUP(A35,'List2_Department'!$A$2:$B$51,2,FALSE),"")</f>
        <v/>
      </c>
      <c r="E35" s="0">
        <f>IFERROR(VLOOKUP(D35,'List2_Department'!$D$3:$E$7,2,FALSE),"")</f>
        <v/>
      </c>
      <c r="F35" s="0">
        <f>IF(B35="","",DATE(YEAR(B35),MONTH(B35),5)-DATE(YEAR(B35),MONTH(B35),1)+1)</f>
        <v/>
      </c>
      <c r="G35" s="0">
        <f>IF(B35="","",SUMIF('List3_Details'!$A$2:$A$251,A35,'List3_Details'!$E$2:$E$251))</f>
        <v/>
      </c>
      <c r="H35" s="16">
        <f>IF(OR(B35="",F35=0),"",G35/F35)</f>
        <v/>
      </c>
      <c r="I35" s="0">
        <f>IF(H35="","",IF(H35&gt;=IF(OR(E35="A",E35="B",E35="C"),80%,40%),"Met","Not Met"))</f>
        <v/>
      </c>
    </row>
    <row r="36">
      <c r="A36" s="0" t="inlineStr">
        <is>
          <t>Attendee 35</t>
        </is>
      </c>
      <c r="B36" s="24" t="n">
        <v>45474</v>
      </c>
      <c r="C36" s="0">
        <f>IFERROR(VLOOKUP(A36,'List1_ContactInfo'!$A$2:$B$58,2,FALSE),"")</f>
        <v/>
      </c>
      <c r="D36" s="0">
        <f>IFERROR(VLOOKUP(A36,'List2_Department'!$A$2:$B$51,2,FALSE),"")</f>
        <v/>
      </c>
      <c r="E36" s="0">
        <f>IFERROR(VLOOKUP(D36,'List2_Department'!$D$3:$E$7,2,FALSE),"")</f>
        <v/>
      </c>
      <c r="F36" s="0">
        <f>IF(B36="","",DATE(YEAR(B36),MONTH(B36),5)-DATE(YEAR(B36),MONTH(B36),1)+1)</f>
        <v/>
      </c>
      <c r="G36" s="0">
        <f>IF(B36="","",SUMIF('List3_Details'!$A$2:$A$251,A36,'List3_Details'!$E$2:$E$251))</f>
        <v/>
      </c>
      <c r="H36" s="16">
        <f>IF(OR(B36="",F36=0),"",G36/F36)</f>
        <v/>
      </c>
      <c r="I36" s="0">
        <f>IF(H36="","",IF(H36&gt;=IF(OR(E36="A",E36="B",E36="C"),80%,40%),"Met","Not Met"))</f>
        <v/>
      </c>
    </row>
    <row r="37">
      <c r="A37" s="0" t="inlineStr">
        <is>
          <t>Attendee 36</t>
        </is>
      </c>
      <c r="B37" s="24" t="n">
        <v>45474</v>
      </c>
      <c r="C37" s="0">
        <f>IFERROR(VLOOKUP(A37,'List1_ContactInfo'!$A$2:$B$58,2,FALSE),"")</f>
        <v/>
      </c>
      <c r="D37" s="0">
        <f>IFERROR(VLOOKUP(A37,'List2_Department'!$A$2:$B$51,2,FALSE),"")</f>
        <v/>
      </c>
      <c r="E37" s="0">
        <f>IFERROR(VLOOKUP(D37,'List2_Department'!$D$3:$E$7,2,FALSE),"")</f>
        <v/>
      </c>
      <c r="F37" s="0">
        <f>IF(B37="","",DATE(YEAR(B37),MONTH(B37),5)-DATE(YEAR(B37),MONTH(B37),1)+1)</f>
        <v/>
      </c>
      <c r="G37" s="0">
        <f>IF(B37="","",SUMIF('List3_Details'!$A$2:$A$251,A37,'List3_Details'!$E$2:$E$251))</f>
        <v/>
      </c>
      <c r="H37" s="16">
        <f>IF(OR(B37="",F37=0),"",G37/F37)</f>
        <v/>
      </c>
      <c r="I37" s="0">
        <f>IF(H37="","",IF(H37&gt;=IF(OR(E37="A",E37="B",E37="C"),80%,40%),"Met","Not Met"))</f>
        <v/>
      </c>
    </row>
    <row r="38">
      <c r="A38" s="0" t="inlineStr">
        <is>
          <t>Attendee 37</t>
        </is>
      </c>
      <c r="B38" s="24" t="n">
        <v>45474</v>
      </c>
      <c r="C38" s="0">
        <f>IFERROR(VLOOKUP(A38,'List1_ContactInfo'!$A$2:$B$58,2,FALSE),"")</f>
        <v/>
      </c>
      <c r="D38" s="0">
        <f>IFERROR(VLOOKUP(A38,'List2_Department'!$A$2:$B$51,2,FALSE),"")</f>
        <v/>
      </c>
      <c r="E38" s="0">
        <f>IFERROR(VLOOKUP(D38,'List2_Department'!$D$3:$E$7,2,FALSE),"")</f>
        <v/>
      </c>
      <c r="F38" s="0">
        <f>IF(B38="","",DATE(YEAR(B38),MONTH(B38),5)-DATE(YEAR(B38),MONTH(B38),1)+1)</f>
        <v/>
      </c>
      <c r="G38" s="0">
        <f>IF(B38="","",SUMIF('List3_Details'!$A$2:$A$251,A38,'List3_Details'!$E$2:$E$251))</f>
        <v/>
      </c>
      <c r="H38" s="16">
        <f>IF(OR(B38="",F38=0),"",G38/F38)</f>
        <v/>
      </c>
      <c r="I38" s="0">
        <f>IF(H38="","",IF(H38&gt;=IF(OR(E38="A",E38="B",E38="C"),80%,40%),"Met","Not Met"))</f>
        <v/>
      </c>
    </row>
    <row r="39">
      <c r="A39" s="0" t="inlineStr">
        <is>
          <t>Attendee 38</t>
        </is>
      </c>
      <c r="B39" s="24" t="n">
        <v>45474</v>
      </c>
      <c r="C39" s="0">
        <f>IFERROR(VLOOKUP(A39,'List1_ContactInfo'!$A$2:$B$58,2,FALSE),"")</f>
        <v/>
      </c>
      <c r="D39" s="0">
        <f>IFERROR(VLOOKUP(A39,'List2_Department'!$A$2:$B$51,2,FALSE),"")</f>
        <v/>
      </c>
      <c r="E39" s="0">
        <f>IFERROR(VLOOKUP(D39,'List2_Department'!$D$3:$E$7,2,FALSE),"")</f>
        <v/>
      </c>
      <c r="F39" s="0">
        <f>IF(B39="","",DATE(YEAR(B39),MONTH(B39),5)-DATE(YEAR(B39),MONTH(B39),1)+1)</f>
        <v/>
      </c>
      <c r="G39" s="0">
        <f>IF(B39="","",SUMIF('List3_Details'!$A$2:$A$251,A39,'List3_Details'!$E$2:$E$251))</f>
        <v/>
      </c>
      <c r="H39" s="16">
        <f>IF(OR(B39="",F39=0),"",G39/F39)</f>
        <v/>
      </c>
      <c r="I39" s="0">
        <f>IF(H39="","",IF(H39&gt;=IF(OR(E39="A",E39="B",E39="C"),80%,40%),"Met","Not Met"))</f>
        <v/>
      </c>
    </row>
    <row r="40">
      <c r="A40" s="0" t="inlineStr">
        <is>
          <t>Attendee 39</t>
        </is>
      </c>
      <c r="B40" s="24" t="n">
        <v>45474</v>
      </c>
      <c r="C40" s="0">
        <f>IFERROR(VLOOKUP(A40,'List1_ContactInfo'!$A$2:$B$58,2,FALSE),"")</f>
        <v/>
      </c>
      <c r="D40" s="0">
        <f>IFERROR(VLOOKUP(A40,'List2_Department'!$A$2:$B$51,2,FALSE),"")</f>
        <v/>
      </c>
      <c r="E40" s="0">
        <f>IFERROR(VLOOKUP(D40,'List2_Department'!$D$3:$E$7,2,FALSE),"")</f>
        <v/>
      </c>
      <c r="F40" s="0">
        <f>IF(B40="","",DATE(YEAR(B40),MONTH(B40),5)-DATE(YEAR(B40),MONTH(B40),1)+1)</f>
        <v/>
      </c>
      <c r="G40" s="0">
        <f>IF(B40="","",SUMIF('List3_Details'!$A$2:$A$251,A40,'List3_Details'!$E$2:$E$251))</f>
        <v/>
      </c>
      <c r="H40" s="16">
        <f>IF(OR(B40="",F40=0),"",G40/F40)</f>
        <v/>
      </c>
      <c r="I40" s="0">
        <f>IF(H40="","",IF(H40&gt;=IF(OR(E40="A",E40="B",E40="C"),80%,40%),"Met","Not Met"))</f>
        <v/>
      </c>
    </row>
    <row r="41">
      <c r="A41" s="0" t="inlineStr">
        <is>
          <t>Attendee 40</t>
        </is>
      </c>
      <c r="B41" s="24" t="n">
        <v>45474</v>
      </c>
      <c r="C41" s="0">
        <f>IFERROR(VLOOKUP(A41,'List1_ContactInfo'!$A$2:$B$58,2,FALSE),"")</f>
        <v/>
      </c>
      <c r="D41" s="0">
        <f>IFERROR(VLOOKUP(A41,'List2_Department'!$A$2:$B$51,2,FALSE),"")</f>
        <v/>
      </c>
      <c r="E41" s="0">
        <f>IFERROR(VLOOKUP(D41,'List2_Department'!$D$3:$E$7,2,FALSE),"")</f>
        <v/>
      </c>
      <c r="F41" s="0">
        <f>IF(B41="","",DATE(YEAR(B41),MONTH(B41),5)-DATE(YEAR(B41),MONTH(B41),1)+1)</f>
        <v/>
      </c>
      <c r="G41" s="0">
        <f>IF(B41="","",SUMIF('List3_Details'!$A$2:$A$251,A41,'List3_Details'!$E$2:$E$251))</f>
        <v/>
      </c>
      <c r="H41" s="16">
        <f>IF(OR(B41="",F41=0),"",G41/F41)</f>
        <v/>
      </c>
      <c r="I41" s="0">
        <f>IF(H41="","",IF(H41&gt;=IF(OR(E41="A",E41="B",E41="C"),80%,40%),"Met","Not Met"))</f>
        <v/>
      </c>
    </row>
    <row r="42">
      <c r="A42" s="0" t="inlineStr">
        <is>
          <t>Attendee 41</t>
        </is>
      </c>
      <c r="B42" s="24" t="n">
        <v>45474</v>
      </c>
      <c r="C42" s="0">
        <f>IFERROR(VLOOKUP(A42,'List1_ContactInfo'!$A$2:$B$58,2,FALSE),"")</f>
        <v/>
      </c>
      <c r="D42" s="0">
        <f>IFERROR(VLOOKUP(A42,'List2_Department'!$A$2:$B$51,2,FALSE),"")</f>
        <v/>
      </c>
      <c r="E42" s="0">
        <f>IFERROR(VLOOKUP(D42,'List2_Department'!$D$3:$E$7,2,FALSE),"")</f>
        <v/>
      </c>
      <c r="F42" s="0">
        <f>IF(B42="","",DATE(YEAR(B42),MONTH(B42),5)-DATE(YEAR(B42),MONTH(B42),1)+1)</f>
        <v/>
      </c>
      <c r="G42" s="0">
        <f>IF(B42="","",SUMIF('List3_Details'!$A$2:$A$251,A42,'List3_Details'!$E$2:$E$251))</f>
        <v/>
      </c>
      <c r="H42" s="16">
        <f>IF(OR(B42="",F42=0),"",G42/F42)</f>
        <v/>
      </c>
      <c r="I42" s="0">
        <f>IF(H42="","",IF(H42&gt;=IF(OR(E42="A",E42="B",E42="C"),80%,40%),"Met","Not Met"))</f>
        <v/>
      </c>
    </row>
    <row r="43">
      <c r="A43" s="0" t="inlineStr">
        <is>
          <t>Attendee 42</t>
        </is>
      </c>
      <c r="B43" s="24" t="n">
        <v>45474</v>
      </c>
      <c r="C43" s="0">
        <f>IFERROR(VLOOKUP(A43,'List1_ContactInfo'!$A$2:$B$58,2,FALSE),"")</f>
        <v/>
      </c>
      <c r="D43" s="0">
        <f>IFERROR(VLOOKUP(A43,'List2_Department'!$A$2:$B$51,2,FALSE),"")</f>
        <v/>
      </c>
      <c r="E43" s="0">
        <f>IFERROR(VLOOKUP(D43,'List2_Department'!$D$3:$E$7,2,FALSE),"")</f>
        <v/>
      </c>
      <c r="F43" s="0">
        <f>IF(B43="","",DATE(YEAR(B43),MONTH(B43),5)-DATE(YEAR(B43),MONTH(B43),1)+1)</f>
        <v/>
      </c>
      <c r="G43" s="0">
        <f>IF(B43="","",SUMIF('List3_Details'!$A$2:$A$251,A43,'List3_Details'!$E$2:$E$251))</f>
        <v/>
      </c>
      <c r="H43" s="16">
        <f>IF(OR(B43="",F43=0),"",G43/F43)</f>
        <v/>
      </c>
      <c r="I43" s="0">
        <f>IF(H43="","",IF(H43&gt;=IF(OR(E43="A",E43="B",E43="C"),80%,40%),"Met","Not Met"))</f>
        <v/>
      </c>
    </row>
    <row r="44">
      <c r="A44" s="0" t="inlineStr">
        <is>
          <t>Attendee 43</t>
        </is>
      </c>
      <c r="B44" s="24" t="n">
        <v>45474</v>
      </c>
      <c r="C44" s="0">
        <f>IFERROR(VLOOKUP(A44,'List1_ContactInfo'!$A$2:$B$58,2,FALSE),"")</f>
        <v/>
      </c>
      <c r="D44" s="0">
        <f>IFERROR(VLOOKUP(A44,'List2_Department'!$A$2:$B$51,2,FALSE),"")</f>
        <v/>
      </c>
      <c r="E44" s="0">
        <f>IFERROR(VLOOKUP(D44,'List2_Department'!$D$3:$E$7,2,FALSE),"")</f>
        <v/>
      </c>
      <c r="F44" s="0">
        <f>IF(B44="","",DATE(YEAR(B44),MONTH(B44),5)-DATE(YEAR(B44),MONTH(B44),1)+1)</f>
        <v/>
      </c>
      <c r="G44" s="0">
        <f>IF(B44="","",SUMIF('List3_Details'!$A$2:$A$251,A44,'List3_Details'!$E$2:$E$251))</f>
        <v/>
      </c>
      <c r="H44" s="16">
        <f>IF(OR(B44="",F44=0),"",G44/F44)</f>
        <v/>
      </c>
      <c r="I44" s="0">
        <f>IF(H44="","",IF(H44&gt;=IF(OR(E44="A",E44="B",E44="C"),80%,40%),"Met","Not Met"))</f>
        <v/>
      </c>
    </row>
    <row r="45">
      <c r="A45" s="0" t="inlineStr">
        <is>
          <t>Attendee 44</t>
        </is>
      </c>
      <c r="B45" s="24" t="n">
        <v>45474</v>
      </c>
      <c r="C45" s="0">
        <f>IFERROR(VLOOKUP(A45,'List1_ContactInfo'!$A$2:$B$58,2,FALSE),"")</f>
        <v/>
      </c>
      <c r="D45" s="0">
        <f>IFERROR(VLOOKUP(A45,'List2_Department'!$A$2:$B$51,2,FALSE),"")</f>
        <v/>
      </c>
      <c r="E45" s="0">
        <f>IFERROR(VLOOKUP(D45,'List2_Department'!$D$3:$E$7,2,FALSE),"")</f>
        <v/>
      </c>
      <c r="F45" s="0">
        <f>IF(B45="","",DATE(YEAR(B45),MONTH(B45),5)-DATE(YEAR(B45),MONTH(B45),1)+1)</f>
        <v/>
      </c>
      <c r="G45" s="0">
        <f>IF(B45="","",SUMIF('List3_Details'!$A$2:$A$251,A45,'List3_Details'!$E$2:$E$251))</f>
        <v/>
      </c>
      <c r="H45" s="16">
        <f>IF(OR(B45="",F45=0),"",G45/F45)</f>
        <v/>
      </c>
      <c r="I45" s="0">
        <f>IF(H45="","",IF(H45&gt;=IF(OR(E45="A",E45="B",E45="C"),80%,40%),"Met","Not Met"))</f>
        <v/>
      </c>
    </row>
    <row r="46">
      <c r="A46" s="0" t="inlineStr">
        <is>
          <t>Attendee 45</t>
        </is>
      </c>
      <c r="B46" s="24" t="n">
        <v>45474</v>
      </c>
      <c r="C46" s="0">
        <f>IFERROR(VLOOKUP(A46,'List1_ContactInfo'!$A$2:$B$58,2,FALSE),"")</f>
        <v/>
      </c>
      <c r="D46" s="0">
        <f>IFERROR(VLOOKUP(A46,'List2_Department'!$A$2:$B$51,2,FALSE),"")</f>
        <v/>
      </c>
      <c r="E46" s="0">
        <f>IFERROR(VLOOKUP(D46,'List2_Department'!$D$3:$E$7,2,FALSE),"")</f>
        <v/>
      </c>
      <c r="F46" s="0">
        <f>IF(B46="","",DATE(YEAR(B46),MONTH(B46),5)-DATE(YEAR(B46),MONTH(B46),1)+1)</f>
        <v/>
      </c>
      <c r="G46" s="0">
        <f>IF(B46="","",SUMIF('List3_Details'!$A$2:$A$251,A46,'List3_Details'!$E$2:$E$251))</f>
        <v/>
      </c>
      <c r="H46" s="16">
        <f>IF(OR(B46="",F46=0),"",G46/F46)</f>
        <v/>
      </c>
      <c r="I46" s="0">
        <f>IF(H46="","",IF(H46&gt;=IF(OR(E46="A",E46="B",E46="C"),80%,40%),"Met","Not Met"))</f>
        <v/>
      </c>
    </row>
    <row r="47">
      <c r="A47" s="0" t="inlineStr">
        <is>
          <t>Attendee 46</t>
        </is>
      </c>
      <c r="B47" s="24" t="n">
        <v>45474</v>
      </c>
      <c r="C47" s="0">
        <f>IFERROR(VLOOKUP(A47,'List1_ContactInfo'!$A$2:$B$58,2,FALSE),"")</f>
        <v/>
      </c>
      <c r="D47" s="0">
        <f>IFERROR(VLOOKUP(A47,'List2_Department'!$A$2:$B$51,2,FALSE),"")</f>
        <v/>
      </c>
      <c r="E47" s="0">
        <f>IFERROR(VLOOKUP(D47,'List2_Department'!$D$3:$E$7,2,FALSE),"")</f>
        <v/>
      </c>
      <c r="F47" s="0">
        <f>IF(B47="","",DATE(YEAR(B47),MONTH(B47),5)-DATE(YEAR(B47),MONTH(B47),1)+1)</f>
        <v/>
      </c>
      <c r="G47" s="0">
        <f>IF(B47="","",SUMIF('List3_Details'!$A$2:$A$251,A47,'List3_Details'!$E$2:$E$251))</f>
        <v/>
      </c>
      <c r="H47" s="16">
        <f>IF(OR(B47="",F47=0),"",G47/F47)</f>
        <v/>
      </c>
      <c r="I47" s="0">
        <f>IF(H47="","",IF(H47&gt;=IF(OR(E47="A",E47="B",E47="C"),80%,40%),"Met","Not Met"))</f>
        <v/>
      </c>
    </row>
    <row r="48">
      <c r="A48" s="0" t="inlineStr">
        <is>
          <t>Attendee 47</t>
        </is>
      </c>
      <c r="B48" s="24" t="n">
        <v>45474</v>
      </c>
      <c r="C48" s="0">
        <f>IFERROR(VLOOKUP(A48,'List1_ContactInfo'!$A$2:$B$58,2,FALSE),"")</f>
        <v/>
      </c>
      <c r="D48" s="0">
        <f>IFERROR(VLOOKUP(A48,'List2_Department'!$A$2:$B$51,2,FALSE),"")</f>
        <v/>
      </c>
      <c r="E48" s="0">
        <f>IFERROR(VLOOKUP(D48,'List2_Department'!$D$3:$E$7,2,FALSE),"")</f>
        <v/>
      </c>
      <c r="F48" s="0">
        <f>IF(B48="","",DATE(YEAR(B48),MONTH(B48),5)-DATE(YEAR(B48),MONTH(B48),1)+1)</f>
        <v/>
      </c>
      <c r="G48" s="0">
        <f>IF(B48="","",SUMIF('List3_Details'!$A$2:$A$251,A48,'List3_Details'!$E$2:$E$251))</f>
        <v/>
      </c>
      <c r="H48" s="16">
        <f>IF(OR(B48="",F48=0),"",G48/F48)</f>
        <v/>
      </c>
      <c r="I48" s="0">
        <f>IF(H48="","",IF(H48&gt;=IF(OR(E48="A",E48="B",E48="C"),80%,40%),"Met","Not Met"))</f>
        <v/>
      </c>
    </row>
    <row r="49">
      <c r="A49" s="0" t="inlineStr">
        <is>
          <t>Attendee 48</t>
        </is>
      </c>
      <c r="B49" s="24" t="n">
        <v>45474</v>
      </c>
      <c r="C49" s="0">
        <f>IFERROR(VLOOKUP(A49,'List1_ContactInfo'!$A$2:$B$58,2,FALSE),"")</f>
        <v/>
      </c>
      <c r="D49" s="0">
        <f>IFERROR(VLOOKUP(A49,'List2_Department'!$A$2:$B$51,2,FALSE),"")</f>
        <v/>
      </c>
      <c r="E49" s="0">
        <f>IFERROR(VLOOKUP(D49,'List2_Department'!$D$3:$E$7,2,FALSE),"")</f>
        <v/>
      </c>
      <c r="F49" s="0">
        <f>IF(B49="","",DATE(YEAR(B49),MONTH(B49),5)-DATE(YEAR(B49),MONTH(B49),1)+1)</f>
        <v/>
      </c>
      <c r="G49" s="0">
        <f>IF(B49="","",SUMIF('List3_Details'!$A$2:$A$251,A49,'List3_Details'!$E$2:$E$251))</f>
        <v/>
      </c>
      <c r="H49" s="16">
        <f>IF(OR(B49="",F49=0),"",G49/F49)</f>
        <v/>
      </c>
      <c r="I49" s="0">
        <f>IF(H49="","",IF(H49&gt;=IF(OR(E49="A",E49="B",E49="C"),80%,40%),"Met","Not Met"))</f>
        <v/>
      </c>
    </row>
    <row r="50">
      <c r="A50" s="0" t="inlineStr">
        <is>
          <t>Attendee 49</t>
        </is>
      </c>
      <c r="B50" s="24" t="n">
        <v>45474</v>
      </c>
      <c r="C50" s="0">
        <f>IFERROR(VLOOKUP(A50,'List1_ContactInfo'!$A$2:$B$58,2,FALSE),"")</f>
        <v/>
      </c>
      <c r="D50" s="0">
        <f>IFERROR(VLOOKUP(A50,'List2_Department'!$A$2:$B$51,2,FALSE),"")</f>
        <v/>
      </c>
      <c r="E50" s="0">
        <f>IFERROR(VLOOKUP(D50,'List2_Department'!$D$3:$E$7,2,FALSE),"")</f>
        <v/>
      </c>
      <c r="F50" s="0">
        <f>IF(B50="","",DATE(YEAR(B50),MONTH(B50),5)-DATE(YEAR(B50),MONTH(B50),1)+1)</f>
        <v/>
      </c>
      <c r="G50" s="0">
        <f>IF(B50="","",SUMIF('List3_Details'!$A$2:$A$251,A50,'List3_Details'!$E$2:$E$251))</f>
        <v/>
      </c>
      <c r="H50" s="16">
        <f>IF(OR(B50="",F50=0),"",G50/F50)</f>
        <v/>
      </c>
      <c r="I50" s="0">
        <f>IF(H50="","",IF(H50&gt;=IF(OR(E50="A",E50="B",E50="C"),80%,40%),"Met","Not Met"))</f>
        <v/>
      </c>
    </row>
    <row r="51">
      <c r="A51" s="0" t="inlineStr">
        <is>
          <t>Attendee 50</t>
        </is>
      </c>
      <c r="B51" s="24" t="n">
        <v>45474</v>
      </c>
      <c r="C51" s="0">
        <f>IFERROR(VLOOKUP(A51,'List1_ContactInfo'!$A$2:$B$58,2,FALSE),"")</f>
        <v/>
      </c>
      <c r="D51" s="0">
        <f>IFERROR(VLOOKUP(A51,'List2_Department'!$A$2:$B$51,2,FALSE),"")</f>
        <v/>
      </c>
      <c r="E51" s="0">
        <f>IFERROR(VLOOKUP(D51,'List2_Department'!$D$3:$E$7,2,FALSE),"")</f>
        <v/>
      </c>
      <c r="F51" s="0">
        <f>IF(B51="","",DATE(YEAR(B51),MONTH(B51),5)-DATE(YEAR(B51),MONTH(B51),1)+1)</f>
        <v/>
      </c>
      <c r="G51" s="0">
        <f>IF(B51="","",SUMIF('List3_Details'!$A$2:$A$251,A51,'List3_Details'!$E$2:$E$251))</f>
        <v/>
      </c>
      <c r="H51" s="16">
        <f>IF(OR(B51="",F51=0),"",G51/F51)</f>
        <v/>
      </c>
      <c r="I51" s="0">
        <f>IF(H51="","",IF(H51&gt;=IF(OR(E51="A",E51="B",E51="C"),80%,40%),"Met","Not Met"))</f>
        <v/>
      </c>
    </row>
  </sheetData>
  <autoFilter ref="A1:I51"/>
  <conditionalFormatting sqref="D2">
    <cfRule type="expression" priority="1" dxfId="0">
      <formula>$D2="Marketing"</formula>
    </cfRule>
    <cfRule type="expression" priority="2" dxfId="1">
      <formula>$D2="Sales"</formula>
    </cfRule>
    <cfRule type="expression" priority="3" dxfId="2">
      <formula>$D2="HR"</formula>
    </cfRule>
    <cfRule type="expression" priority="4" dxfId="3">
      <formula>$D2="IT"</formula>
    </cfRule>
    <cfRule type="expression" priority="5" dxfId="4">
      <formula>$D2="Finance"</formula>
    </cfRule>
  </conditionalFormatting>
  <conditionalFormatting sqref="D3">
    <cfRule type="expression" priority="6" dxfId="0">
      <formula>$D3="Marketing"</formula>
    </cfRule>
    <cfRule type="expression" priority="7" dxfId="1">
      <formula>$D3="Sales"</formula>
    </cfRule>
    <cfRule type="expression" priority="8" dxfId="2">
      <formula>$D3="HR"</formula>
    </cfRule>
    <cfRule type="expression" priority="9" dxfId="3">
      <formula>$D3="IT"</formula>
    </cfRule>
    <cfRule type="expression" priority="10" dxfId="4">
      <formula>$D3="Finance"</formula>
    </cfRule>
  </conditionalFormatting>
  <conditionalFormatting sqref="D4">
    <cfRule type="expression" priority="11" dxfId="0">
      <formula>$D4="Marketing"</formula>
    </cfRule>
    <cfRule type="expression" priority="12" dxfId="1">
      <formula>$D4="Sales"</formula>
    </cfRule>
    <cfRule type="expression" priority="13" dxfId="2">
      <formula>$D4="HR"</formula>
    </cfRule>
    <cfRule type="expression" priority="14" dxfId="3">
      <formula>$D4="IT"</formula>
    </cfRule>
    <cfRule type="expression" priority="15" dxfId="4">
      <formula>$D4="Finance"</formula>
    </cfRule>
  </conditionalFormatting>
  <conditionalFormatting sqref="D5">
    <cfRule type="expression" priority="16" dxfId="0">
      <formula>$D5="Marketing"</formula>
    </cfRule>
    <cfRule type="expression" priority="17" dxfId="1">
      <formula>$D5="Sales"</formula>
    </cfRule>
    <cfRule type="expression" priority="18" dxfId="2">
      <formula>$D5="HR"</formula>
    </cfRule>
    <cfRule type="expression" priority="19" dxfId="3">
      <formula>$D5="IT"</formula>
    </cfRule>
    <cfRule type="expression" priority="20" dxfId="4">
      <formula>$D5="Finance"</formula>
    </cfRule>
  </conditionalFormatting>
  <conditionalFormatting sqref="D6">
    <cfRule type="expression" priority="21" dxfId="0">
      <formula>$D6="Marketing"</formula>
    </cfRule>
    <cfRule type="expression" priority="22" dxfId="1">
      <formula>$D6="Sales"</formula>
    </cfRule>
    <cfRule type="expression" priority="23" dxfId="2">
      <formula>$D6="HR"</formula>
    </cfRule>
    <cfRule type="expression" priority="24" dxfId="3">
      <formula>$D6="IT"</formula>
    </cfRule>
    <cfRule type="expression" priority="25" dxfId="4">
      <formula>$D6="Finance"</formula>
    </cfRule>
  </conditionalFormatting>
  <conditionalFormatting sqref="D7">
    <cfRule type="expression" priority="26" dxfId="0">
      <formula>$D7="Marketing"</formula>
    </cfRule>
    <cfRule type="expression" priority="27" dxfId="1">
      <formula>$D7="Sales"</formula>
    </cfRule>
    <cfRule type="expression" priority="28" dxfId="2">
      <formula>$D7="HR"</formula>
    </cfRule>
    <cfRule type="expression" priority="29" dxfId="3">
      <formula>$D7="IT"</formula>
    </cfRule>
    <cfRule type="expression" priority="30" dxfId="4">
      <formula>$D7="Finance"</formula>
    </cfRule>
  </conditionalFormatting>
  <conditionalFormatting sqref="D8">
    <cfRule type="expression" priority="31" dxfId="0">
      <formula>$D8="Marketing"</formula>
    </cfRule>
    <cfRule type="expression" priority="32" dxfId="1">
      <formula>$D8="Sales"</formula>
    </cfRule>
    <cfRule type="expression" priority="33" dxfId="2">
      <formula>$D8="HR"</formula>
    </cfRule>
    <cfRule type="expression" priority="34" dxfId="3">
      <formula>$D8="IT"</formula>
    </cfRule>
    <cfRule type="expression" priority="35" dxfId="4">
      <formula>$D8="Finance"</formula>
    </cfRule>
  </conditionalFormatting>
  <conditionalFormatting sqref="D9">
    <cfRule type="expression" priority="36" dxfId="0">
      <formula>$D9="Marketing"</formula>
    </cfRule>
    <cfRule type="expression" priority="37" dxfId="1">
      <formula>$D9="Sales"</formula>
    </cfRule>
    <cfRule type="expression" priority="38" dxfId="2">
      <formula>$D9="HR"</formula>
    </cfRule>
    <cfRule type="expression" priority="39" dxfId="3">
      <formula>$D9="IT"</formula>
    </cfRule>
    <cfRule type="expression" priority="40" dxfId="4">
      <formula>$D9="Finance"</formula>
    </cfRule>
  </conditionalFormatting>
  <conditionalFormatting sqref="D10">
    <cfRule type="expression" priority="41" dxfId="0">
      <formula>$D10="Marketing"</formula>
    </cfRule>
    <cfRule type="expression" priority="42" dxfId="1">
      <formula>$D10="Sales"</formula>
    </cfRule>
    <cfRule type="expression" priority="43" dxfId="2">
      <formula>$D10="HR"</formula>
    </cfRule>
    <cfRule type="expression" priority="44" dxfId="3">
      <formula>$D10="IT"</formula>
    </cfRule>
    <cfRule type="expression" priority="45" dxfId="4">
      <formula>$D10="Finance"</formula>
    </cfRule>
  </conditionalFormatting>
  <conditionalFormatting sqref="D11">
    <cfRule type="expression" priority="46" dxfId="0">
      <formula>$D11="Marketing"</formula>
    </cfRule>
    <cfRule type="expression" priority="47" dxfId="1">
      <formula>$D11="Sales"</formula>
    </cfRule>
    <cfRule type="expression" priority="48" dxfId="2">
      <formula>$D11="HR"</formula>
    </cfRule>
    <cfRule type="expression" priority="49" dxfId="3">
      <formula>$D11="IT"</formula>
    </cfRule>
    <cfRule type="expression" priority="50" dxfId="4">
      <formula>$D11="Finance"</formula>
    </cfRule>
  </conditionalFormatting>
  <conditionalFormatting sqref="D12">
    <cfRule type="expression" priority="51" dxfId="0">
      <formula>$D12="Marketing"</formula>
    </cfRule>
    <cfRule type="expression" priority="52" dxfId="1">
      <formula>$D12="Sales"</formula>
    </cfRule>
    <cfRule type="expression" priority="53" dxfId="2">
      <formula>$D12="HR"</formula>
    </cfRule>
    <cfRule type="expression" priority="54" dxfId="3">
      <formula>$D12="IT"</formula>
    </cfRule>
    <cfRule type="expression" priority="55" dxfId="4">
      <formula>$D12="Finance"</formula>
    </cfRule>
  </conditionalFormatting>
  <conditionalFormatting sqref="D13">
    <cfRule type="expression" priority="56" dxfId="0">
      <formula>$D13="Marketing"</formula>
    </cfRule>
    <cfRule type="expression" priority="57" dxfId="1">
      <formula>$D13="Sales"</formula>
    </cfRule>
    <cfRule type="expression" priority="58" dxfId="2">
      <formula>$D13="HR"</formula>
    </cfRule>
    <cfRule type="expression" priority="59" dxfId="3">
      <formula>$D13="IT"</formula>
    </cfRule>
    <cfRule type="expression" priority="60" dxfId="4">
      <formula>$D13="Finance"</formula>
    </cfRule>
  </conditionalFormatting>
  <conditionalFormatting sqref="D14">
    <cfRule type="expression" priority="61" dxfId="0">
      <formula>$D14="Marketing"</formula>
    </cfRule>
    <cfRule type="expression" priority="62" dxfId="1">
      <formula>$D14="Sales"</formula>
    </cfRule>
    <cfRule type="expression" priority="63" dxfId="2">
      <formula>$D14="HR"</formula>
    </cfRule>
    <cfRule type="expression" priority="64" dxfId="3">
      <formula>$D14="IT"</formula>
    </cfRule>
    <cfRule type="expression" priority="65" dxfId="4">
      <formula>$D14="Finance"</formula>
    </cfRule>
  </conditionalFormatting>
  <conditionalFormatting sqref="D15">
    <cfRule type="expression" priority="66" dxfId="0">
      <formula>$D15="Marketing"</formula>
    </cfRule>
    <cfRule type="expression" priority="67" dxfId="1">
      <formula>$D15="Sales"</formula>
    </cfRule>
    <cfRule type="expression" priority="68" dxfId="2">
      <formula>$D15="HR"</formula>
    </cfRule>
    <cfRule type="expression" priority="69" dxfId="3">
      <formula>$D15="IT"</formula>
    </cfRule>
    <cfRule type="expression" priority="70" dxfId="4">
      <formula>$D15="Finance"</formula>
    </cfRule>
  </conditionalFormatting>
  <conditionalFormatting sqref="D16">
    <cfRule type="expression" priority="71" dxfId="0">
      <formula>$D16="Marketing"</formula>
    </cfRule>
    <cfRule type="expression" priority="72" dxfId="1">
      <formula>$D16="Sales"</formula>
    </cfRule>
    <cfRule type="expression" priority="73" dxfId="2">
      <formula>$D16="HR"</formula>
    </cfRule>
    <cfRule type="expression" priority="74" dxfId="3">
      <formula>$D16="IT"</formula>
    </cfRule>
    <cfRule type="expression" priority="75" dxfId="4">
      <formula>$D16="Finance"</formula>
    </cfRule>
  </conditionalFormatting>
  <conditionalFormatting sqref="D17">
    <cfRule type="expression" priority="76" dxfId="0">
      <formula>$D17="Marketing"</formula>
    </cfRule>
    <cfRule type="expression" priority="77" dxfId="1">
      <formula>$D17="Sales"</formula>
    </cfRule>
    <cfRule type="expression" priority="78" dxfId="2">
      <formula>$D17="HR"</formula>
    </cfRule>
    <cfRule type="expression" priority="79" dxfId="3">
      <formula>$D17="IT"</formula>
    </cfRule>
    <cfRule type="expression" priority="80" dxfId="4">
      <formula>$D17="Finance"</formula>
    </cfRule>
  </conditionalFormatting>
  <conditionalFormatting sqref="D18">
    <cfRule type="expression" priority="81" dxfId="0">
      <formula>$D18="Marketing"</formula>
    </cfRule>
    <cfRule type="expression" priority="82" dxfId="1">
      <formula>$D18="Sales"</formula>
    </cfRule>
    <cfRule type="expression" priority="83" dxfId="2">
      <formula>$D18="HR"</formula>
    </cfRule>
    <cfRule type="expression" priority="84" dxfId="3">
      <formula>$D18="IT"</formula>
    </cfRule>
    <cfRule type="expression" priority="85" dxfId="4">
      <formula>$D18="Finance"</formula>
    </cfRule>
  </conditionalFormatting>
  <conditionalFormatting sqref="D19">
    <cfRule type="expression" priority="86" dxfId="0">
      <formula>$D19="Marketing"</formula>
    </cfRule>
    <cfRule type="expression" priority="87" dxfId="1">
      <formula>$D19="Sales"</formula>
    </cfRule>
    <cfRule type="expression" priority="88" dxfId="2">
      <formula>$D19="HR"</formula>
    </cfRule>
    <cfRule type="expression" priority="89" dxfId="3">
      <formula>$D19="IT"</formula>
    </cfRule>
    <cfRule type="expression" priority="90" dxfId="4">
      <formula>$D19="Finance"</formula>
    </cfRule>
  </conditionalFormatting>
  <conditionalFormatting sqref="D20">
    <cfRule type="expression" priority="91" dxfId="0">
      <formula>$D20="Marketing"</formula>
    </cfRule>
    <cfRule type="expression" priority="92" dxfId="1">
      <formula>$D20="Sales"</formula>
    </cfRule>
    <cfRule type="expression" priority="93" dxfId="2">
      <formula>$D20="HR"</formula>
    </cfRule>
    <cfRule type="expression" priority="94" dxfId="3">
      <formula>$D20="IT"</formula>
    </cfRule>
    <cfRule type="expression" priority="95" dxfId="4">
      <formula>$D20="Finance"</formula>
    </cfRule>
  </conditionalFormatting>
  <conditionalFormatting sqref="D21">
    <cfRule type="expression" priority="96" dxfId="0">
      <formula>$D21="Marketing"</formula>
    </cfRule>
    <cfRule type="expression" priority="97" dxfId="1">
      <formula>$D21="Sales"</formula>
    </cfRule>
    <cfRule type="expression" priority="98" dxfId="2">
      <formula>$D21="HR"</formula>
    </cfRule>
    <cfRule type="expression" priority="99" dxfId="3">
      <formula>$D21="IT"</formula>
    </cfRule>
    <cfRule type="expression" priority="100" dxfId="4">
      <formula>$D21="Finance"</formula>
    </cfRule>
  </conditionalFormatting>
  <conditionalFormatting sqref="D22">
    <cfRule type="expression" priority="101" dxfId="0">
      <formula>$D22="Marketing"</formula>
    </cfRule>
    <cfRule type="expression" priority="102" dxfId="1">
      <formula>$D22="Sales"</formula>
    </cfRule>
    <cfRule type="expression" priority="103" dxfId="2">
      <formula>$D22="HR"</formula>
    </cfRule>
    <cfRule type="expression" priority="104" dxfId="3">
      <formula>$D22="IT"</formula>
    </cfRule>
    <cfRule type="expression" priority="105" dxfId="4">
      <formula>$D22="Finance"</formula>
    </cfRule>
  </conditionalFormatting>
  <conditionalFormatting sqref="D23">
    <cfRule type="expression" priority="106" dxfId="0">
      <formula>$D23="Marketing"</formula>
    </cfRule>
    <cfRule type="expression" priority="107" dxfId="1">
      <formula>$D23="Sales"</formula>
    </cfRule>
    <cfRule type="expression" priority="108" dxfId="2">
      <formula>$D23="HR"</formula>
    </cfRule>
    <cfRule type="expression" priority="109" dxfId="3">
      <formula>$D23="IT"</formula>
    </cfRule>
    <cfRule type="expression" priority="110" dxfId="4">
      <formula>$D23="Finance"</formula>
    </cfRule>
  </conditionalFormatting>
  <conditionalFormatting sqref="D24">
    <cfRule type="expression" priority="111" dxfId="0">
      <formula>$D24="Marketing"</formula>
    </cfRule>
    <cfRule type="expression" priority="112" dxfId="1">
      <formula>$D24="Sales"</formula>
    </cfRule>
    <cfRule type="expression" priority="113" dxfId="2">
      <formula>$D24="HR"</formula>
    </cfRule>
    <cfRule type="expression" priority="114" dxfId="3">
      <formula>$D24="IT"</formula>
    </cfRule>
    <cfRule type="expression" priority="115" dxfId="4">
      <formula>$D24="Finance"</formula>
    </cfRule>
  </conditionalFormatting>
  <conditionalFormatting sqref="D25">
    <cfRule type="expression" priority="116" dxfId="0">
      <formula>$D25="Marketing"</formula>
    </cfRule>
    <cfRule type="expression" priority="117" dxfId="1">
      <formula>$D25="Sales"</formula>
    </cfRule>
    <cfRule type="expression" priority="118" dxfId="2">
      <formula>$D25="HR"</formula>
    </cfRule>
    <cfRule type="expression" priority="119" dxfId="3">
      <formula>$D25="IT"</formula>
    </cfRule>
    <cfRule type="expression" priority="120" dxfId="4">
      <formula>$D25="Finance"</formula>
    </cfRule>
  </conditionalFormatting>
  <conditionalFormatting sqref="D26">
    <cfRule type="expression" priority="121" dxfId="0">
      <formula>$D26="Marketing"</formula>
    </cfRule>
    <cfRule type="expression" priority="122" dxfId="1">
      <formula>$D26="Sales"</formula>
    </cfRule>
    <cfRule type="expression" priority="123" dxfId="2">
      <formula>$D26="HR"</formula>
    </cfRule>
    <cfRule type="expression" priority="124" dxfId="3">
      <formula>$D26="IT"</formula>
    </cfRule>
    <cfRule type="expression" priority="125" dxfId="4">
      <formula>$D26="Finance"</formula>
    </cfRule>
  </conditionalFormatting>
  <conditionalFormatting sqref="D27">
    <cfRule type="expression" priority="126" dxfId="0">
      <formula>$D27="Marketing"</formula>
    </cfRule>
    <cfRule type="expression" priority="127" dxfId="1">
      <formula>$D27="Sales"</formula>
    </cfRule>
    <cfRule type="expression" priority="128" dxfId="2">
      <formula>$D27="HR"</formula>
    </cfRule>
    <cfRule type="expression" priority="129" dxfId="3">
      <formula>$D27="IT"</formula>
    </cfRule>
    <cfRule type="expression" priority="130" dxfId="4">
      <formula>$D27="Finance"</formula>
    </cfRule>
  </conditionalFormatting>
  <conditionalFormatting sqref="D28">
    <cfRule type="expression" priority="131" dxfId="0">
      <formula>$D28="Marketing"</formula>
    </cfRule>
    <cfRule type="expression" priority="132" dxfId="1">
      <formula>$D28="Sales"</formula>
    </cfRule>
    <cfRule type="expression" priority="133" dxfId="2">
      <formula>$D28="HR"</formula>
    </cfRule>
    <cfRule type="expression" priority="134" dxfId="3">
      <formula>$D28="IT"</formula>
    </cfRule>
    <cfRule type="expression" priority="135" dxfId="4">
      <formula>$D28="Finance"</formula>
    </cfRule>
  </conditionalFormatting>
  <conditionalFormatting sqref="D29">
    <cfRule type="expression" priority="136" dxfId="0">
      <formula>$D29="Marketing"</formula>
    </cfRule>
    <cfRule type="expression" priority="137" dxfId="1">
      <formula>$D29="Sales"</formula>
    </cfRule>
    <cfRule type="expression" priority="138" dxfId="2">
      <formula>$D29="HR"</formula>
    </cfRule>
    <cfRule type="expression" priority="139" dxfId="3">
      <formula>$D29="IT"</formula>
    </cfRule>
    <cfRule type="expression" priority="140" dxfId="4">
      <formula>$D29="Finance"</formula>
    </cfRule>
  </conditionalFormatting>
  <conditionalFormatting sqref="D30">
    <cfRule type="expression" priority="141" dxfId="0">
      <formula>$D30="Marketing"</formula>
    </cfRule>
    <cfRule type="expression" priority="142" dxfId="1">
      <formula>$D30="Sales"</formula>
    </cfRule>
    <cfRule type="expression" priority="143" dxfId="2">
      <formula>$D30="HR"</formula>
    </cfRule>
    <cfRule type="expression" priority="144" dxfId="3">
      <formula>$D30="IT"</formula>
    </cfRule>
    <cfRule type="expression" priority="145" dxfId="4">
      <formula>$D30="Finance"</formula>
    </cfRule>
  </conditionalFormatting>
  <conditionalFormatting sqref="D31">
    <cfRule type="expression" priority="146" dxfId="0">
      <formula>$D31="Marketing"</formula>
    </cfRule>
    <cfRule type="expression" priority="147" dxfId="1">
      <formula>$D31="Sales"</formula>
    </cfRule>
    <cfRule type="expression" priority="148" dxfId="2">
      <formula>$D31="HR"</formula>
    </cfRule>
    <cfRule type="expression" priority="149" dxfId="3">
      <formula>$D31="IT"</formula>
    </cfRule>
    <cfRule type="expression" priority="150" dxfId="4">
      <formula>$D31="Finance"</formula>
    </cfRule>
  </conditionalFormatting>
  <conditionalFormatting sqref="D32">
    <cfRule type="expression" priority="151" dxfId="0">
      <formula>$D32="Marketing"</formula>
    </cfRule>
    <cfRule type="expression" priority="152" dxfId="1">
      <formula>$D32="Sales"</formula>
    </cfRule>
    <cfRule type="expression" priority="153" dxfId="2">
      <formula>$D32="HR"</formula>
    </cfRule>
    <cfRule type="expression" priority="154" dxfId="3">
      <formula>$D32="IT"</formula>
    </cfRule>
    <cfRule type="expression" priority="155" dxfId="4">
      <formula>$D32="Finance"</formula>
    </cfRule>
  </conditionalFormatting>
  <conditionalFormatting sqref="D33">
    <cfRule type="expression" priority="156" dxfId="0">
      <formula>$D33="Marketing"</formula>
    </cfRule>
    <cfRule type="expression" priority="157" dxfId="1">
      <formula>$D33="Sales"</formula>
    </cfRule>
    <cfRule type="expression" priority="158" dxfId="2">
      <formula>$D33="HR"</formula>
    </cfRule>
    <cfRule type="expression" priority="159" dxfId="3">
      <formula>$D33="IT"</formula>
    </cfRule>
    <cfRule type="expression" priority="160" dxfId="4">
      <formula>$D33="Finance"</formula>
    </cfRule>
  </conditionalFormatting>
  <conditionalFormatting sqref="D34">
    <cfRule type="expression" priority="161" dxfId="0">
      <formula>$D34="Marketing"</formula>
    </cfRule>
    <cfRule type="expression" priority="162" dxfId="1">
      <formula>$D34="Sales"</formula>
    </cfRule>
    <cfRule type="expression" priority="163" dxfId="2">
      <formula>$D34="HR"</formula>
    </cfRule>
    <cfRule type="expression" priority="164" dxfId="3">
      <formula>$D34="IT"</formula>
    </cfRule>
    <cfRule type="expression" priority="165" dxfId="4">
      <formula>$D34="Finance"</formula>
    </cfRule>
  </conditionalFormatting>
  <conditionalFormatting sqref="D35">
    <cfRule type="expression" priority="166" dxfId="0">
      <formula>$D35="Marketing"</formula>
    </cfRule>
    <cfRule type="expression" priority="167" dxfId="1">
      <formula>$D35="Sales"</formula>
    </cfRule>
    <cfRule type="expression" priority="168" dxfId="2">
      <formula>$D35="HR"</formula>
    </cfRule>
    <cfRule type="expression" priority="169" dxfId="3">
      <formula>$D35="IT"</formula>
    </cfRule>
    <cfRule type="expression" priority="170" dxfId="4">
      <formula>$D35="Finance"</formula>
    </cfRule>
  </conditionalFormatting>
  <conditionalFormatting sqref="D36">
    <cfRule type="expression" priority="171" dxfId="0">
      <formula>$D36="Marketing"</formula>
    </cfRule>
    <cfRule type="expression" priority="172" dxfId="1">
      <formula>$D36="Sales"</formula>
    </cfRule>
    <cfRule type="expression" priority="173" dxfId="2">
      <formula>$D36="HR"</formula>
    </cfRule>
    <cfRule type="expression" priority="174" dxfId="3">
      <formula>$D36="IT"</formula>
    </cfRule>
    <cfRule type="expression" priority="175" dxfId="4">
      <formula>$D36="Finance"</formula>
    </cfRule>
  </conditionalFormatting>
  <conditionalFormatting sqref="D37">
    <cfRule type="expression" priority="176" dxfId="0">
      <formula>$D37="Marketing"</formula>
    </cfRule>
    <cfRule type="expression" priority="177" dxfId="1">
      <formula>$D37="Sales"</formula>
    </cfRule>
    <cfRule type="expression" priority="178" dxfId="2">
      <formula>$D37="HR"</formula>
    </cfRule>
    <cfRule type="expression" priority="179" dxfId="3">
      <formula>$D37="IT"</formula>
    </cfRule>
    <cfRule type="expression" priority="180" dxfId="4">
      <formula>$D37="Finance"</formula>
    </cfRule>
  </conditionalFormatting>
  <conditionalFormatting sqref="D38">
    <cfRule type="expression" priority="181" dxfId="0">
      <formula>$D38="Marketing"</formula>
    </cfRule>
    <cfRule type="expression" priority="182" dxfId="1">
      <formula>$D38="Sales"</formula>
    </cfRule>
    <cfRule type="expression" priority="183" dxfId="2">
      <formula>$D38="HR"</formula>
    </cfRule>
    <cfRule type="expression" priority="184" dxfId="3">
      <formula>$D38="IT"</formula>
    </cfRule>
    <cfRule type="expression" priority="185" dxfId="4">
      <formula>$D38="Finance"</formula>
    </cfRule>
  </conditionalFormatting>
  <conditionalFormatting sqref="D39">
    <cfRule type="expression" priority="186" dxfId="0">
      <formula>$D39="Marketing"</formula>
    </cfRule>
    <cfRule type="expression" priority="187" dxfId="1">
      <formula>$D39="Sales"</formula>
    </cfRule>
    <cfRule type="expression" priority="188" dxfId="2">
      <formula>$D39="HR"</formula>
    </cfRule>
    <cfRule type="expression" priority="189" dxfId="3">
      <formula>$D39="IT"</formula>
    </cfRule>
    <cfRule type="expression" priority="190" dxfId="4">
      <formula>$D39="Finance"</formula>
    </cfRule>
  </conditionalFormatting>
  <conditionalFormatting sqref="D40">
    <cfRule type="expression" priority="191" dxfId="0">
      <formula>$D40="Marketing"</formula>
    </cfRule>
    <cfRule type="expression" priority="192" dxfId="1">
      <formula>$D40="Sales"</formula>
    </cfRule>
    <cfRule type="expression" priority="193" dxfId="2">
      <formula>$D40="HR"</formula>
    </cfRule>
    <cfRule type="expression" priority="194" dxfId="3">
      <formula>$D40="IT"</formula>
    </cfRule>
    <cfRule type="expression" priority="195" dxfId="4">
      <formula>$D40="Finance"</formula>
    </cfRule>
  </conditionalFormatting>
  <conditionalFormatting sqref="D41">
    <cfRule type="expression" priority="196" dxfId="0">
      <formula>$D41="Marketing"</formula>
    </cfRule>
    <cfRule type="expression" priority="197" dxfId="1">
      <formula>$D41="Sales"</formula>
    </cfRule>
    <cfRule type="expression" priority="198" dxfId="2">
      <formula>$D41="HR"</formula>
    </cfRule>
    <cfRule type="expression" priority="199" dxfId="3">
      <formula>$D41="IT"</formula>
    </cfRule>
    <cfRule type="expression" priority="200" dxfId="4">
      <formula>$D41="Finance"</formula>
    </cfRule>
  </conditionalFormatting>
  <conditionalFormatting sqref="D42">
    <cfRule type="expression" priority="201" dxfId="0">
      <formula>$D42="Marketing"</formula>
    </cfRule>
    <cfRule type="expression" priority="202" dxfId="1">
      <formula>$D42="Sales"</formula>
    </cfRule>
    <cfRule type="expression" priority="203" dxfId="2">
      <formula>$D42="HR"</formula>
    </cfRule>
    <cfRule type="expression" priority="204" dxfId="3">
      <formula>$D42="IT"</formula>
    </cfRule>
    <cfRule type="expression" priority="205" dxfId="4">
      <formula>$D42="Finance"</formula>
    </cfRule>
  </conditionalFormatting>
  <conditionalFormatting sqref="D43">
    <cfRule type="expression" priority="206" dxfId="0">
      <formula>$D43="Marketing"</formula>
    </cfRule>
    <cfRule type="expression" priority="207" dxfId="1">
      <formula>$D43="Sales"</formula>
    </cfRule>
    <cfRule type="expression" priority="208" dxfId="2">
      <formula>$D43="HR"</formula>
    </cfRule>
    <cfRule type="expression" priority="209" dxfId="3">
      <formula>$D43="IT"</formula>
    </cfRule>
    <cfRule type="expression" priority="210" dxfId="4">
      <formula>$D43="Finance"</formula>
    </cfRule>
  </conditionalFormatting>
  <conditionalFormatting sqref="D44">
    <cfRule type="expression" priority="211" dxfId="0">
      <formula>$D44="Marketing"</formula>
    </cfRule>
    <cfRule type="expression" priority="212" dxfId="1">
      <formula>$D44="Sales"</formula>
    </cfRule>
    <cfRule type="expression" priority="213" dxfId="2">
      <formula>$D44="HR"</formula>
    </cfRule>
    <cfRule type="expression" priority="214" dxfId="3">
      <formula>$D44="IT"</formula>
    </cfRule>
    <cfRule type="expression" priority="215" dxfId="4">
      <formula>$D44="Finance"</formula>
    </cfRule>
  </conditionalFormatting>
  <conditionalFormatting sqref="D45">
    <cfRule type="expression" priority="216" dxfId="0">
      <formula>$D45="Marketing"</formula>
    </cfRule>
    <cfRule type="expression" priority="217" dxfId="1">
      <formula>$D45="Sales"</formula>
    </cfRule>
    <cfRule type="expression" priority="218" dxfId="2">
      <formula>$D45="HR"</formula>
    </cfRule>
    <cfRule type="expression" priority="219" dxfId="3">
      <formula>$D45="IT"</formula>
    </cfRule>
    <cfRule type="expression" priority="220" dxfId="4">
      <formula>$D45="Finance"</formula>
    </cfRule>
  </conditionalFormatting>
  <conditionalFormatting sqref="D46">
    <cfRule type="expression" priority="221" dxfId="0">
      <formula>$D46="Marketing"</formula>
    </cfRule>
    <cfRule type="expression" priority="222" dxfId="1">
      <formula>$D46="Sales"</formula>
    </cfRule>
    <cfRule type="expression" priority="223" dxfId="2">
      <formula>$D46="HR"</formula>
    </cfRule>
    <cfRule type="expression" priority="224" dxfId="3">
      <formula>$D46="IT"</formula>
    </cfRule>
    <cfRule type="expression" priority="225" dxfId="4">
      <formula>$D46="Finance"</formula>
    </cfRule>
  </conditionalFormatting>
  <conditionalFormatting sqref="D47">
    <cfRule type="expression" priority="226" dxfId="0">
      <formula>$D47="Marketing"</formula>
    </cfRule>
    <cfRule type="expression" priority="227" dxfId="1">
      <formula>$D47="Sales"</formula>
    </cfRule>
    <cfRule type="expression" priority="228" dxfId="2">
      <formula>$D47="HR"</formula>
    </cfRule>
    <cfRule type="expression" priority="229" dxfId="3">
      <formula>$D47="IT"</formula>
    </cfRule>
    <cfRule type="expression" priority="230" dxfId="4">
      <formula>$D47="Finance"</formula>
    </cfRule>
  </conditionalFormatting>
  <conditionalFormatting sqref="D48">
    <cfRule type="expression" priority="231" dxfId="0">
      <formula>$D48="Marketing"</formula>
    </cfRule>
    <cfRule type="expression" priority="232" dxfId="1">
      <formula>$D48="Sales"</formula>
    </cfRule>
    <cfRule type="expression" priority="233" dxfId="2">
      <formula>$D48="HR"</formula>
    </cfRule>
    <cfRule type="expression" priority="234" dxfId="3">
      <formula>$D48="IT"</formula>
    </cfRule>
    <cfRule type="expression" priority="235" dxfId="4">
      <formula>$D48="Finance"</formula>
    </cfRule>
  </conditionalFormatting>
  <conditionalFormatting sqref="D49">
    <cfRule type="expression" priority="236" dxfId="0">
      <formula>$D49="Marketing"</formula>
    </cfRule>
    <cfRule type="expression" priority="237" dxfId="1">
      <formula>$D49="Sales"</formula>
    </cfRule>
    <cfRule type="expression" priority="238" dxfId="2">
      <formula>$D49="HR"</formula>
    </cfRule>
    <cfRule type="expression" priority="239" dxfId="3">
      <formula>$D49="IT"</formula>
    </cfRule>
    <cfRule type="expression" priority="240" dxfId="4">
      <formula>$D49="Finance"</formula>
    </cfRule>
  </conditionalFormatting>
  <conditionalFormatting sqref="D50">
    <cfRule type="expression" priority="241" dxfId="0">
      <formula>$D50="Marketing"</formula>
    </cfRule>
    <cfRule type="expression" priority="242" dxfId="1">
      <formula>$D50="Sales"</formula>
    </cfRule>
    <cfRule type="expression" priority="243" dxfId="2">
      <formula>$D50="HR"</formula>
    </cfRule>
    <cfRule type="expression" priority="244" dxfId="3">
      <formula>$D50="IT"</formula>
    </cfRule>
    <cfRule type="expression" priority="245" dxfId="4">
      <formula>$D50="Finance"</formula>
    </cfRule>
  </conditionalFormatting>
  <conditionalFormatting sqref="D51">
    <cfRule type="expression" priority="246" dxfId="0">
      <formula>$D51="Marketing"</formula>
    </cfRule>
    <cfRule type="expression" priority="247" dxfId="1">
      <formula>$D51="Sales"</formula>
    </cfRule>
    <cfRule type="expression" priority="248" dxfId="2">
      <formula>$D51="HR"</formula>
    </cfRule>
    <cfRule type="expression" priority="249" dxfId="3">
      <formula>$D51="IT"</formula>
    </cfRule>
    <cfRule type="expression" priority="250" dxfId="4">
      <formula>$D51="Finance"</formula>
    </cfRule>
  </conditionalFormatting>
  <conditionalFormatting sqref="G2:G51">
    <cfRule type="dataBar" priority="251">
      <dataBar showValue="1">
        <cfvo type="num" val="0"/>
        <cfvo type="num" val="5"/>
        <color rgb="0063C384"/>
      </dataBar>
    </cfRule>
    <cfRule type="dataBar" priority="255">
      <dataBar showValue="1">
        <cfvo type="num" val="0"/>
        <cfvo type="num" val="5"/>
        <color rgb="0063C384"/>
      </dataBar>
    </cfRule>
  </conditionalFormatting>
  <conditionalFormatting sqref="H2:H51">
    <cfRule type="colorScale" priority="252">
      <colorScale>
        <cfvo type="num" val="0"/>
        <cfvo type="num" val="0.6"/>
        <cfvo type="num" val="1"/>
        <color rgb="00F8696B"/>
        <color rgb="00FFEB84"/>
        <color rgb="0063BE7B"/>
      </colorScale>
    </cfRule>
  </conditionalFormatting>
  <conditionalFormatting sqref="I2:I51">
    <cfRule type="expression" priority="253" dxfId="5">
      <formula>$I2="Met"</formula>
    </cfRule>
    <cfRule type="expression" priority="254" dxfId="6">
      <formula>$I2="Not Met"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1" min="1" max="1"/>
    <col width="23" customWidth="1" style="11" min="2" max="2"/>
    <col width="23" customWidth="1" style="11" min="3" max="3"/>
    <col width="24" customWidth="1" style="11" min="4" max="4"/>
    <col width="18" customWidth="1" style="11" min="5" max="5"/>
    <col width="22" customWidth="1" style="11" min="6" max="6"/>
  </cols>
  <sheetData>
    <row r="1">
      <c r="A1" s="25" t="inlineStr">
        <is>
          <t>ATTENDANCE ANALYSIS — PIVOT-STYLE SUMMARIES</t>
        </is>
      </c>
    </row>
    <row r="2">
      <c r="A2" s="26" t="inlineStr">
        <is>
          <t>These formula-driven summary tables answer the assignment questions and update with the tracker data.</t>
        </is>
      </c>
    </row>
    <row r="3"/>
    <row r="4">
      <c r="A4" s="25" t="inlineStr">
        <is>
          <t>DAILY ATTENDANCE</t>
        </is>
      </c>
    </row>
    <row r="5">
      <c r="A5" s="25" t="inlineStr">
        <is>
          <t>Date</t>
        </is>
      </c>
      <c r="B5" s="25" t="inlineStr">
        <is>
          <t>Present</t>
        </is>
      </c>
      <c r="C5" s="25" t="inlineStr">
        <is>
          <t>Absent</t>
        </is>
      </c>
      <c r="D5" s="25" t="inlineStr">
        <is>
          <t>Attendance rate</t>
        </is>
      </c>
    </row>
    <row r="6">
      <c r="A6" s="27">
        <f>'Daily Summary'!A2</f>
        <v/>
      </c>
      <c r="B6" s="26">
        <f>'Daily Summary'!B2</f>
        <v/>
      </c>
      <c r="C6" s="26">
        <f>'Daily Summary'!C2</f>
        <v/>
      </c>
      <c r="D6" s="28">
        <f>IFERROR(B6/(B6+C6),0)</f>
        <v/>
      </c>
    </row>
    <row r="7">
      <c r="A7" s="27">
        <f>'Daily Summary'!A3</f>
        <v/>
      </c>
      <c r="B7" s="26">
        <f>'Daily Summary'!B3</f>
        <v/>
      </c>
      <c r="C7" s="26">
        <f>'Daily Summary'!C3</f>
        <v/>
      </c>
      <c r="D7" s="28">
        <f>IFERROR(B7/(B7+C7),0)</f>
        <v/>
      </c>
    </row>
    <row r="8">
      <c r="A8" s="27">
        <f>'Daily Summary'!A4</f>
        <v/>
      </c>
      <c r="B8" s="26">
        <f>'Daily Summary'!B4</f>
        <v/>
      </c>
      <c r="C8" s="26">
        <f>'Daily Summary'!C4</f>
        <v/>
      </c>
      <c r="D8" s="28">
        <f>IFERROR(B8/(B8+C8),0)</f>
        <v/>
      </c>
    </row>
    <row r="9">
      <c r="A9" s="27">
        <f>'Daily Summary'!A5</f>
        <v/>
      </c>
      <c r="B9" s="26">
        <f>'Daily Summary'!B5</f>
        <v/>
      </c>
      <c r="C9" s="26">
        <f>'Daily Summary'!C5</f>
        <v/>
      </c>
      <c r="D9" s="28">
        <f>IFERROR(B9/(B9+C9),0)</f>
        <v/>
      </c>
    </row>
    <row r="10">
      <c r="A10" s="27">
        <f>'Daily Summary'!A6</f>
        <v/>
      </c>
      <c r="B10" s="26">
        <f>'Daily Summary'!B6</f>
        <v/>
      </c>
      <c r="C10" s="26">
        <f>'Daily Summary'!C6</f>
        <v/>
      </c>
      <c r="D10" s="28">
        <f>IFERROR(B10/(B10+C10),0)</f>
        <v/>
      </c>
    </row>
    <row r="11"/>
    <row r="12">
      <c r="A12" s="25" t="inlineStr">
        <is>
          <t>Daily answer</t>
        </is>
      </c>
      <c r="B12" s="25" t="inlineStr">
        <is>
          <t>Result</t>
        </is>
      </c>
    </row>
    <row r="13">
      <c r="A13" s="25" t="inlineStr">
        <is>
          <t>Highest attendance day</t>
        </is>
      </c>
      <c r="B13" s="25">
        <f>INDEX(A6:A10,MATCH(MAX(D6:D10),D6:D10,0))</f>
        <v/>
      </c>
    </row>
    <row r="14">
      <c r="A14" s="26" t="inlineStr">
        <is>
          <t>Lowest attendance day</t>
        </is>
      </c>
      <c r="B14" s="26">
        <f>INDEX(A6:A10,MATCH(MIN(D6:D10),D6:D10,0))</f>
        <v/>
      </c>
    </row>
    <row r="15"/>
    <row r="16">
      <c r="A16" s="26" t="inlineStr">
        <is>
          <t>DEPARTMENT ATTENDANCE</t>
        </is>
      </c>
    </row>
    <row r="17">
      <c r="A17" s="26" t="inlineStr">
        <is>
          <t>Department</t>
        </is>
      </c>
      <c r="B17" s="26" t="inlineStr">
        <is>
          <t>Group</t>
        </is>
      </c>
      <c r="C17" s="26" t="inlineStr">
        <is>
          <t>Attendees</t>
        </is>
      </c>
      <c r="D17" s="26" t="inlineStr">
        <is>
          <t>Average attendance %</t>
        </is>
      </c>
      <c r="E17" s="26" t="inlineStr">
        <is>
          <t>Requirements met</t>
        </is>
      </c>
      <c r="F17" s="26" t="inlineStr">
        <is>
          <t>Requirements not met</t>
        </is>
      </c>
    </row>
    <row r="18">
      <c r="A18" s="26">
        <f>'Department Summary'!A2</f>
        <v/>
      </c>
      <c r="B18" s="26">
        <f>'Department Summary'!B2</f>
        <v/>
      </c>
      <c r="C18" s="26">
        <f>'Department Summary'!C2</f>
        <v/>
      </c>
      <c r="D18" s="28">
        <f>'Department Summary'!D2</f>
        <v/>
      </c>
      <c r="E18" s="26">
        <f>'Department Summary'!E2</f>
        <v/>
      </c>
      <c r="F18" s="26">
        <f>'Department Summary'!F2</f>
        <v/>
      </c>
    </row>
    <row r="19">
      <c r="A19" s="26">
        <f>'Department Summary'!A3</f>
        <v/>
      </c>
      <c r="B19" s="26">
        <f>'Department Summary'!B3</f>
        <v/>
      </c>
      <c r="C19" s="26">
        <f>'Department Summary'!C3</f>
        <v/>
      </c>
      <c r="D19" s="28">
        <f>'Department Summary'!D3</f>
        <v/>
      </c>
      <c r="E19" s="26">
        <f>'Department Summary'!E3</f>
        <v/>
      </c>
      <c r="F19" s="26">
        <f>'Department Summary'!F3</f>
        <v/>
      </c>
    </row>
    <row r="20">
      <c r="A20" s="26">
        <f>'Department Summary'!A4</f>
        <v/>
      </c>
      <c r="B20" s="26">
        <f>'Department Summary'!B4</f>
        <v/>
      </c>
      <c r="C20" s="26">
        <f>'Department Summary'!C4</f>
        <v/>
      </c>
      <c r="D20" s="28">
        <f>'Department Summary'!D4</f>
        <v/>
      </c>
      <c r="E20" s="26">
        <f>'Department Summary'!E4</f>
        <v/>
      </c>
      <c r="F20" s="26">
        <f>'Department Summary'!F4</f>
        <v/>
      </c>
    </row>
    <row r="21">
      <c r="A21" s="25">
        <f>'Department Summary'!A5</f>
        <v/>
      </c>
      <c r="B21" s="25">
        <f>'Department Summary'!B5</f>
        <v/>
      </c>
      <c r="C21" s="25">
        <f>'Department Summary'!C5</f>
        <v/>
      </c>
      <c r="D21" s="29">
        <f>'Department Summary'!D5</f>
        <v/>
      </c>
      <c r="E21" s="25">
        <f>'Department Summary'!E5</f>
        <v/>
      </c>
      <c r="F21" s="25">
        <f>'Department Summary'!F5</f>
        <v/>
      </c>
    </row>
    <row r="22">
      <c r="A22" s="25">
        <f>'Department Summary'!A6</f>
        <v/>
      </c>
      <c r="B22" s="25">
        <f>'Department Summary'!B6</f>
        <v/>
      </c>
      <c r="C22" s="25">
        <f>'Department Summary'!C6</f>
        <v/>
      </c>
      <c r="D22" s="29">
        <f>'Department Summary'!D6</f>
        <v/>
      </c>
      <c r="E22" s="25">
        <f>'Department Summary'!E6</f>
        <v/>
      </c>
      <c r="F22" s="25">
        <f>'Department Summary'!F6</f>
        <v/>
      </c>
    </row>
    <row r="23"/>
    <row r="24">
      <c r="A24" s="26" t="inlineStr">
        <is>
          <t>WEEKLY INDIVIDUAL INSIGHTS</t>
        </is>
      </c>
      <c r="B24" s="26" t="inlineStr">
        <is>
          <t>Result</t>
        </is>
      </c>
    </row>
    <row r="25">
      <c r="A25" s="26" t="inlineStr">
        <is>
          <t>Highest attendance rate</t>
        </is>
      </c>
      <c r="B25" s="28">
        <f>MAX('Attendance Tracker'!H2:H51)</f>
        <v/>
      </c>
    </row>
    <row r="26">
      <c r="A26" s="26" t="inlineStr">
        <is>
          <t>Individuals with highest attendance</t>
        </is>
      </c>
      <c r="B26" s="26">
        <f>COUNTIF('Attendance Tracker'!H2:H51,B25)</f>
        <v/>
      </c>
    </row>
    <row r="27">
      <c r="A27" s="26" t="inlineStr">
        <is>
          <t>Names with highest attendance</t>
        </is>
      </c>
      <c r="B27" s="26" t="inlineStr">
        <is>
          <t>See tracker; filter Attendance percentage to the maximum above</t>
        </is>
      </c>
    </row>
    <row r="28">
      <c r="A28" s="26" t="inlineStr">
        <is>
          <t>Attendees who attended only one day</t>
        </is>
      </c>
      <c r="B28" s="26">
        <f>COUNTIF('Attendance Tracker'!G2:G51,1)</f>
        <v/>
      </c>
    </row>
    <row r="29">
      <c r="A29" s="26" t="inlineStr">
        <is>
          <t>Percentage meeting requirements</t>
        </is>
      </c>
      <c r="B29" s="28">
        <f>IFERROR(COUNTIF('Attendance Tracker'!I2:I51,"Met")/COUNTA('Attendance Tracker'!A2:A51),0)</f>
        <v/>
      </c>
    </row>
    <row r="30"/>
    <row r="31">
      <c r="A31" s="26" t="inlineStr">
        <is>
          <t>INDIVIDUAL DETAIL</t>
        </is>
      </c>
    </row>
    <row r="32">
      <c r="A32" s="26" t="inlineStr">
        <is>
          <t>Name</t>
        </is>
      </c>
      <c r="B32" s="26" t="inlineStr">
        <is>
          <t>Actual days present</t>
        </is>
      </c>
      <c r="C32" s="26" t="inlineStr">
        <is>
          <t>Attendance %</t>
        </is>
      </c>
      <c r="D32" s="26" t="inlineStr">
        <is>
          <t>Requirement met</t>
        </is>
      </c>
    </row>
    <row r="33">
      <c r="A33" s="26">
        <f>'Attendance Tracker'!A2</f>
        <v/>
      </c>
      <c r="B33" s="26">
        <f>'Attendance Tracker'!G2</f>
        <v/>
      </c>
      <c r="C33" s="28">
        <f>'Attendance Tracker'!H2</f>
        <v/>
      </c>
      <c r="D33" s="26">
        <f>'Attendance Tracker'!I2</f>
        <v/>
      </c>
    </row>
    <row r="34">
      <c r="A34" s="26">
        <f>'Attendance Tracker'!A3</f>
        <v/>
      </c>
      <c r="B34" s="26">
        <f>'Attendance Tracker'!G3</f>
        <v/>
      </c>
      <c r="C34" s="28">
        <f>'Attendance Tracker'!H3</f>
        <v/>
      </c>
      <c r="D34" s="26">
        <f>'Attendance Tracker'!I3</f>
        <v/>
      </c>
    </row>
    <row r="35">
      <c r="A35" s="26">
        <f>'Attendance Tracker'!A4</f>
        <v/>
      </c>
      <c r="B35" s="26">
        <f>'Attendance Tracker'!G4</f>
        <v/>
      </c>
      <c r="C35" s="28">
        <f>'Attendance Tracker'!H4</f>
        <v/>
      </c>
      <c r="D35" s="26">
        <f>'Attendance Tracker'!I4</f>
        <v/>
      </c>
    </row>
    <row r="36">
      <c r="A36" s="26">
        <f>'Attendance Tracker'!A5</f>
        <v/>
      </c>
      <c r="B36" s="26">
        <f>'Attendance Tracker'!G5</f>
        <v/>
      </c>
      <c r="C36" s="28">
        <f>'Attendance Tracker'!H5</f>
        <v/>
      </c>
      <c r="D36" s="26">
        <f>'Attendance Tracker'!I5</f>
        <v/>
      </c>
    </row>
    <row r="37">
      <c r="A37" s="26">
        <f>'Attendance Tracker'!A6</f>
        <v/>
      </c>
      <c r="B37" s="26">
        <f>'Attendance Tracker'!G6</f>
        <v/>
      </c>
      <c r="C37" s="28">
        <f>'Attendance Tracker'!H6</f>
        <v/>
      </c>
      <c r="D37" s="26">
        <f>'Attendance Tracker'!I6</f>
        <v/>
      </c>
    </row>
    <row r="38">
      <c r="A38" s="26">
        <f>'Attendance Tracker'!A7</f>
        <v/>
      </c>
      <c r="B38" s="26">
        <f>'Attendance Tracker'!G7</f>
        <v/>
      </c>
      <c r="C38" s="28">
        <f>'Attendance Tracker'!H7</f>
        <v/>
      </c>
      <c r="D38" s="26">
        <f>'Attendance Tracker'!I7</f>
        <v/>
      </c>
    </row>
    <row r="39">
      <c r="A39" s="26">
        <f>'Attendance Tracker'!A8</f>
        <v/>
      </c>
      <c r="B39" s="26">
        <f>'Attendance Tracker'!G8</f>
        <v/>
      </c>
      <c r="C39" s="28">
        <f>'Attendance Tracker'!H8</f>
        <v/>
      </c>
      <c r="D39" s="26">
        <f>'Attendance Tracker'!I8</f>
        <v/>
      </c>
    </row>
    <row r="40">
      <c r="A40" s="26">
        <f>'Attendance Tracker'!A9</f>
        <v/>
      </c>
      <c r="B40" s="26">
        <f>'Attendance Tracker'!G9</f>
        <v/>
      </c>
      <c r="C40" s="28">
        <f>'Attendance Tracker'!H9</f>
        <v/>
      </c>
      <c r="D40" s="26">
        <f>'Attendance Tracker'!I9</f>
        <v/>
      </c>
    </row>
    <row r="41">
      <c r="A41" s="26">
        <f>'Attendance Tracker'!A10</f>
        <v/>
      </c>
      <c r="B41" s="26">
        <f>'Attendance Tracker'!G10</f>
        <v/>
      </c>
      <c r="C41" s="28">
        <f>'Attendance Tracker'!H10</f>
        <v/>
      </c>
      <c r="D41" s="26">
        <f>'Attendance Tracker'!I10</f>
        <v/>
      </c>
    </row>
    <row r="42">
      <c r="A42" s="26">
        <f>'Attendance Tracker'!A11</f>
        <v/>
      </c>
      <c r="B42" s="26">
        <f>'Attendance Tracker'!G11</f>
        <v/>
      </c>
      <c r="C42" s="28">
        <f>'Attendance Tracker'!H11</f>
        <v/>
      </c>
      <c r="D42" s="26">
        <f>'Attendance Tracker'!I11</f>
        <v/>
      </c>
    </row>
    <row r="43">
      <c r="A43" s="26">
        <f>'Attendance Tracker'!A12</f>
        <v/>
      </c>
      <c r="B43" s="26">
        <f>'Attendance Tracker'!G12</f>
        <v/>
      </c>
      <c r="C43" s="28">
        <f>'Attendance Tracker'!H12</f>
        <v/>
      </c>
      <c r="D43" s="26">
        <f>'Attendance Tracker'!I12</f>
        <v/>
      </c>
    </row>
    <row r="44">
      <c r="A44" s="26">
        <f>'Attendance Tracker'!A13</f>
        <v/>
      </c>
      <c r="B44" s="26">
        <f>'Attendance Tracker'!G13</f>
        <v/>
      </c>
      <c r="C44" s="28">
        <f>'Attendance Tracker'!H13</f>
        <v/>
      </c>
      <c r="D44" s="26">
        <f>'Attendance Tracker'!I13</f>
        <v/>
      </c>
    </row>
    <row r="45">
      <c r="A45" s="26">
        <f>'Attendance Tracker'!A14</f>
        <v/>
      </c>
      <c r="B45" s="26">
        <f>'Attendance Tracker'!G14</f>
        <v/>
      </c>
      <c r="C45" s="28">
        <f>'Attendance Tracker'!H14</f>
        <v/>
      </c>
      <c r="D45" s="26">
        <f>'Attendance Tracker'!I14</f>
        <v/>
      </c>
    </row>
    <row r="46">
      <c r="A46" s="26">
        <f>'Attendance Tracker'!A15</f>
        <v/>
      </c>
      <c r="B46" s="26">
        <f>'Attendance Tracker'!G15</f>
        <v/>
      </c>
      <c r="C46" s="28">
        <f>'Attendance Tracker'!H15</f>
        <v/>
      </c>
      <c r="D46" s="26">
        <f>'Attendance Tracker'!I15</f>
        <v/>
      </c>
    </row>
    <row r="47">
      <c r="A47" s="26">
        <f>'Attendance Tracker'!A16</f>
        <v/>
      </c>
      <c r="B47" s="26">
        <f>'Attendance Tracker'!G16</f>
        <v/>
      </c>
      <c r="C47" s="28">
        <f>'Attendance Tracker'!H16</f>
        <v/>
      </c>
      <c r="D47" s="26">
        <f>'Attendance Tracker'!I16</f>
        <v/>
      </c>
    </row>
    <row r="48">
      <c r="A48" s="26">
        <f>'Attendance Tracker'!A17</f>
        <v/>
      </c>
      <c r="B48" s="26">
        <f>'Attendance Tracker'!G17</f>
        <v/>
      </c>
      <c r="C48" s="28">
        <f>'Attendance Tracker'!H17</f>
        <v/>
      </c>
      <c r="D48" s="26">
        <f>'Attendance Tracker'!I17</f>
        <v/>
      </c>
    </row>
    <row r="49">
      <c r="A49" s="26">
        <f>'Attendance Tracker'!A18</f>
        <v/>
      </c>
      <c r="B49" s="26">
        <f>'Attendance Tracker'!G18</f>
        <v/>
      </c>
      <c r="C49" s="28">
        <f>'Attendance Tracker'!H18</f>
        <v/>
      </c>
      <c r="D49" s="26">
        <f>'Attendance Tracker'!I18</f>
        <v/>
      </c>
    </row>
    <row r="50">
      <c r="A50" s="26">
        <f>'Attendance Tracker'!A19</f>
        <v/>
      </c>
      <c r="B50" s="26">
        <f>'Attendance Tracker'!G19</f>
        <v/>
      </c>
      <c r="C50" s="28">
        <f>'Attendance Tracker'!H19</f>
        <v/>
      </c>
      <c r="D50" s="26">
        <f>'Attendance Tracker'!I19</f>
        <v/>
      </c>
    </row>
    <row r="51">
      <c r="A51" s="26">
        <f>'Attendance Tracker'!A20</f>
        <v/>
      </c>
      <c r="B51" s="26">
        <f>'Attendance Tracker'!G20</f>
        <v/>
      </c>
      <c r="C51" s="28">
        <f>'Attendance Tracker'!H20</f>
        <v/>
      </c>
      <c r="D51" s="26">
        <f>'Attendance Tracker'!I20</f>
        <v/>
      </c>
    </row>
    <row r="52">
      <c r="A52" s="26">
        <f>'Attendance Tracker'!A21</f>
        <v/>
      </c>
      <c r="B52" s="26">
        <f>'Attendance Tracker'!G21</f>
        <v/>
      </c>
      <c r="C52" s="28">
        <f>'Attendance Tracker'!H21</f>
        <v/>
      </c>
      <c r="D52" s="26">
        <f>'Attendance Tracker'!I21</f>
        <v/>
      </c>
    </row>
    <row r="53">
      <c r="A53" s="26">
        <f>'Attendance Tracker'!A22</f>
        <v/>
      </c>
      <c r="B53" s="26">
        <f>'Attendance Tracker'!G22</f>
        <v/>
      </c>
      <c r="C53" s="28">
        <f>'Attendance Tracker'!H22</f>
        <v/>
      </c>
      <c r="D53" s="26">
        <f>'Attendance Tracker'!I22</f>
        <v/>
      </c>
    </row>
    <row r="54">
      <c r="A54" s="26">
        <f>'Attendance Tracker'!A23</f>
        <v/>
      </c>
      <c r="B54" s="26">
        <f>'Attendance Tracker'!G23</f>
        <v/>
      </c>
      <c r="C54" s="28">
        <f>'Attendance Tracker'!H23</f>
        <v/>
      </c>
      <c r="D54" s="26">
        <f>'Attendance Tracker'!I23</f>
        <v/>
      </c>
    </row>
    <row r="55">
      <c r="A55" s="26">
        <f>'Attendance Tracker'!A24</f>
        <v/>
      </c>
      <c r="B55" s="26">
        <f>'Attendance Tracker'!G24</f>
        <v/>
      </c>
      <c r="C55" s="28">
        <f>'Attendance Tracker'!H24</f>
        <v/>
      </c>
      <c r="D55" s="26">
        <f>'Attendance Tracker'!I24</f>
        <v/>
      </c>
    </row>
    <row r="56">
      <c r="A56" s="26">
        <f>'Attendance Tracker'!A25</f>
        <v/>
      </c>
      <c r="B56" s="26">
        <f>'Attendance Tracker'!G25</f>
        <v/>
      </c>
      <c r="C56" s="28">
        <f>'Attendance Tracker'!H25</f>
        <v/>
      </c>
      <c r="D56" s="26">
        <f>'Attendance Tracker'!I25</f>
        <v/>
      </c>
    </row>
    <row r="57">
      <c r="A57" s="26">
        <f>'Attendance Tracker'!A26</f>
        <v/>
      </c>
      <c r="B57" s="26">
        <f>'Attendance Tracker'!G26</f>
        <v/>
      </c>
      <c r="C57" s="28">
        <f>'Attendance Tracker'!H26</f>
        <v/>
      </c>
      <c r="D57" s="26">
        <f>'Attendance Tracker'!I26</f>
        <v/>
      </c>
    </row>
    <row r="58">
      <c r="A58" s="26">
        <f>'Attendance Tracker'!A27</f>
        <v/>
      </c>
      <c r="B58" s="26">
        <f>'Attendance Tracker'!G27</f>
        <v/>
      </c>
      <c r="C58" s="28">
        <f>'Attendance Tracker'!H27</f>
        <v/>
      </c>
      <c r="D58" s="26">
        <f>'Attendance Tracker'!I27</f>
        <v/>
      </c>
    </row>
    <row r="59">
      <c r="A59" s="26">
        <f>'Attendance Tracker'!A28</f>
        <v/>
      </c>
      <c r="B59" s="26">
        <f>'Attendance Tracker'!G28</f>
        <v/>
      </c>
      <c r="C59" s="28">
        <f>'Attendance Tracker'!H28</f>
        <v/>
      </c>
      <c r="D59" s="26">
        <f>'Attendance Tracker'!I28</f>
        <v/>
      </c>
    </row>
    <row r="60">
      <c r="A60" s="26">
        <f>'Attendance Tracker'!A29</f>
        <v/>
      </c>
      <c r="B60" s="26">
        <f>'Attendance Tracker'!G29</f>
        <v/>
      </c>
      <c r="C60" s="28">
        <f>'Attendance Tracker'!H29</f>
        <v/>
      </c>
      <c r="D60" s="26">
        <f>'Attendance Tracker'!I29</f>
        <v/>
      </c>
    </row>
    <row r="61">
      <c r="A61" s="26">
        <f>'Attendance Tracker'!A30</f>
        <v/>
      </c>
      <c r="B61" s="26">
        <f>'Attendance Tracker'!G30</f>
        <v/>
      </c>
      <c r="C61" s="28">
        <f>'Attendance Tracker'!H30</f>
        <v/>
      </c>
      <c r="D61" s="26">
        <f>'Attendance Tracker'!I30</f>
        <v/>
      </c>
    </row>
    <row r="62">
      <c r="A62" s="26">
        <f>'Attendance Tracker'!A31</f>
        <v/>
      </c>
      <c r="B62" s="26">
        <f>'Attendance Tracker'!G31</f>
        <v/>
      </c>
      <c r="C62" s="28">
        <f>'Attendance Tracker'!H31</f>
        <v/>
      </c>
      <c r="D62" s="26">
        <f>'Attendance Tracker'!I31</f>
        <v/>
      </c>
    </row>
    <row r="63">
      <c r="A63" s="26">
        <f>'Attendance Tracker'!A32</f>
        <v/>
      </c>
      <c r="B63" s="26">
        <f>'Attendance Tracker'!G32</f>
        <v/>
      </c>
      <c r="C63" s="28">
        <f>'Attendance Tracker'!H32</f>
        <v/>
      </c>
      <c r="D63" s="26">
        <f>'Attendance Tracker'!I32</f>
        <v/>
      </c>
    </row>
    <row r="64">
      <c r="A64" s="26">
        <f>'Attendance Tracker'!A33</f>
        <v/>
      </c>
      <c r="B64" s="26">
        <f>'Attendance Tracker'!G33</f>
        <v/>
      </c>
      <c r="C64" s="28">
        <f>'Attendance Tracker'!H33</f>
        <v/>
      </c>
      <c r="D64" s="26">
        <f>'Attendance Tracker'!I33</f>
        <v/>
      </c>
    </row>
    <row r="65">
      <c r="A65" s="26">
        <f>'Attendance Tracker'!A34</f>
        <v/>
      </c>
      <c r="B65" s="26">
        <f>'Attendance Tracker'!G34</f>
        <v/>
      </c>
      <c r="C65" s="28">
        <f>'Attendance Tracker'!H34</f>
        <v/>
      </c>
      <c r="D65" s="26">
        <f>'Attendance Tracker'!I34</f>
        <v/>
      </c>
    </row>
    <row r="66">
      <c r="A66" s="26">
        <f>'Attendance Tracker'!A35</f>
        <v/>
      </c>
      <c r="B66" s="26">
        <f>'Attendance Tracker'!G35</f>
        <v/>
      </c>
      <c r="C66" s="28">
        <f>'Attendance Tracker'!H35</f>
        <v/>
      </c>
      <c r="D66" s="26">
        <f>'Attendance Tracker'!I35</f>
        <v/>
      </c>
    </row>
    <row r="67">
      <c r="A67" s="26">
        <f>'Attendance Tracker'!A36</f>
        <v/>
      </c>
      <c r="B67" s="26">
        <f>'Attendance Tracker'!G36</f>
        <v/>
      </c>
      <c r="C67" s="28">
        <f>'Attendance Tracker'!H36</f>
        <v/>
      </c>
      <c r="D67" s="26">
        <f>'Attendance Tracker'!I36</f>
        <v/>
      </c>
    </row>
    <row r="68">
      <c r="A68" s="26">
        <f>'Attendance Tracker'!A37</f>
        <v/>
      </c>
      <c r="B68" s="26">
        <f>'Attendance Tracker'!G37</f>
        <v/>
      </c>
      <c r="C68" s="28">
        <f>'Attendance Tracker'!H37</f>
        <v/>
      </c>
      <c r="D68" s="26">
        <f>'Attendance Tracker'!I37</f>
        <v/>
      </c>
    </row>
    <row r="69">
      <c r="A69" s="26">
        <f>'Attendance Tracker'!A38</f>
        <v/>
      </c>
      <c r="B69" s="26">
        <f>'Attendance Tracker'!G38</f>
        <v/>
      </c>
      <c r="C69" s="28">
        <f>'Attendance Tracker'!H38</f>
        <v/>
      </c>
      <c r="D69" s="26">
        <f>'Attendance Tracker'!I38</f>
        <v/>
      </c>
    </row>
    <row r="70">
      <c r="A70" s="26">
        <f>'Attendance Tracker'!A39</f>
        <v/>
      </c>
      <c r="B70" s="26">
        <f>'Attendance Tracker'!G39</f>
        <v/>
      </c>
      <c r="C70" s="28">
        <f>'Attendance Tracker'!H39</f>
        <v/>
      </c>
      <c r="D70" s="26">
        <f>'Attendance Tracker'!I39</f>
        <v/>
      </c>
    </row>
    <row r="71">
      <c r="A71" s="26">
        <f>'Attendance Tracker'!A40</f>
        <v/>
      </c>
      <c r="B71" s="26">
        <f>'Attendance Tracker'!G40</f>
        <v/>
      </c>
      <c r="C71" s="28">
        <f>'Attendance Tracker'!H40</f>
        <v/>
      </c>
      <c r="D71" s="26">
        <f>'Attendance Tracker'!I40</f>
        <v/>
      </c>
    </row>
    <row r="72">
      <c r="A72" s="26">
        <f>'Attendance Tracker'!A41</f>
        <v/>
      </c>
      <c r="B72" s="26">
        <f>'Attendance Tracker'!G41</f>
        <v/>
      </c>
      <c r="C72" s="28">
        <f>'Attendance Tracker'!H41</f>
        <v/>
      </c>
      <c r="D72" s="26">
        <f>'Attendance Tracker'!I41</f>
        <v/>
      </c>
    </row>
    <row r="73">
      <c r="A73" s="26">
        <f>'Attendance Tracker'!A42</f>
        <v/>
      </c>
      <c r="B73" s="26">
        <f>'Attendance Tracker'!G42</f>
        <v/>
      </c>
      <c r="C73" s="28">
        <f>'Attendance Tracker'!H42</f>
        <v/>
      </c>
      <c r="D73" s="26">
        <f>'Attendance Tracker'!I42</f>
        <v/>
      </c>
    </row>
    <row r="74">
      <c r="A74" s="26">
        <f>'Attendance Tracker'!A43</f>
        <v/>
      </c>
      <c r="B74" s="26">
        <f>'Attendance Tracker'!G43</f>
        <v/>
      </c>
      <c r="C74" s="28">
        <f>'Attendance Tracker'!H43</f>
        <v/>
      </c>
      <c r="D74" s="26">
        <f>'Attendance Tracker'!I43</f>
        <v/>
      </c>
    </row>
    <row r="75">
      <c r="A75" s="26">
        <f>'Attendance Tracker'!A44</f>
        <v/>
      </c>
      <c r="B75" s="26">
        <f>'Attendance Tracker'!G44</f>
        <v/>
      </c>
      <c r="C75" s="28">
        <f>'Attendance Tracker'!H44</f>
        <v/>
      </c>
      <c r="D75" s="26">
        <f>'Attendance Tracker'!I44</f>
        <v/>
      </c>
    </row>
    <row r="76">
      <c r="A76" s="26">
        <f>'Attendance Tracker'!A45</f>
        <v/>
      </c>
      <c r="B76" s="26">
        <f>'Attendance Tracker'!G45</f>
        <v/>
      </c>
      <c r="C76" s="28">
        <f>'Attendance Tracker'!H45</f>
        <v/>
      </c>
      <c r="D76" s="26">
        <f>'Attendance Tracker'!I45</f>
        <v/>
      </c>
    </row>
    <row r="77">
      <c r="A77" s="26">
        <f>'Attendance Tracker'!A46</f>
        <v/>
      </c>
      <c r="B77" s="26">
        <f>'Attendance Tracker'!G46</f>
        <v/>
      </c>
      <c r="C77" s="28">
        <f>'Attendance Tracker'!H46</f>
        <v/>
      </c>
      <c r="D77" s="26">
        <f>'Attendance Tracker'!I46</f>
        <v/>
      </c>
    </row>
    <row r="78">
      <c r="A78" s="26">
        <f>'Attendance Tracker'!A47</f>
        <v/>
      </c>
      <c r="B78" s="26">
        <f>'Attendance Tracker'!G47</f>
        <v/>
      </c>
      <c r="C78" s="28">
        <f>'Attendance Tracker'!H47</f>
        <v/>
      </c>
      <c r="D78" s="26">
        <f>'Attendance Tracker'!I47</f>
        <v/>
      </c>
    </row>
    <row r="79">
      <c r="A79" s="26">
        <f>'Attendance Tracker'!A48</f>
        <v/>
      </c>
      <c r="B79" s="26">
        <f>'Attendance Tracker'!G48</f>
        <v/>
      </c>
      <c r="C79" s="28">
        <f>'Attendance Tracker'!H48</f>
        <v/>
      </c>
      <c r="D79" s="26">
        <f>'Attendance Tracker'!I48</f>
        <v/>
      </c>
    </row>
    <row r="80">
      <c r="A80" s="26">
        <f>'Attendance Tracker'!A49</f>
        <v/>
      </c>
      <c r="B80" s="26">
        <f>'Attendance Tracker'!G49</f>
        <v/>
      </c>
      <c r="C80" s="28">
        <f>'Attendance Tracker'!H49</f>
        <v/>
      </c>
      <c r="D80" s="26">
        <f>'Attendance Tracker'!I49</f>
        <v/>
      </c>
    </row>
    <row r="81">
      <c r="A81" s="26">
        <f>'Attendance Tracker'!A50</f>
        <v/>
      </c>
      <c r="B81" s="26">
        <f>'Attendance Tracker'!G50</f>
        <v/>
      </c>
      <c r="C81" s="28">
        <f>'Attendance Tracker'!H50</f>
        <v/>
      </c>
      <c r="D81" s="26">
        <f>'Attendance Tracker'!I50</f>
        <v/>
      </c>
    </row>
    <row r="82">
      <c r="A82" s="26">
        <f>'Attendance Tracker'!A51</f>
        <v/>
      </c>
      <c r="B82" s="26">
        <f>'Attendance Tracker'!G51</f>
        <v/>
      </c>
      <c r="C82" s="28">
        <f>'Attendance Tracker'!H51</f>
        <v/>
      </c>
      <c r="D82" s="26">
        <f>'Attendance Tracker'!I51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style="11" min="1" max="1"/>
    <col width="12" customWidth="1" style="11" min="2" max="2"/>
    <col width="12" customWidth="1" style="11" min="3" max="3"/>
    <col width="15" customWidth="1" style="11" min="4" max="4"/>
  </cols>
  <sheetData>
    <row r="1">
      <c r="A1" s="25" t="inlineStr">
        <is>
          <t>Date</t>
        </is>
      </c>
      <c r="B1" s="25" t="inlineStr">
        <is>
          <t>Present</t>
        </is>
      </c>
      <c r="C1" s="25" t="inlineStr">
        <is>
          <t>Absent</t>
        </is>
      </c>
      <c r="D1" s="25" t="inlineStr">
        <is>
          <t>Total records</t>
        </is>
      </c>
    </row>
    <row r="2">
      <c r="A2" s="27" t="n">
        <v>45474</v>
      </c>
      <c r="B2" s="26">
        <f>COUNTIFS('List3_Details'!$B$2:$B$251,A2,'List3_Details'!$D$2:$D$251,"Present")</f>
        <v/>
      </c>
      <c r="C2" s="26">
        <f>COUNTIFS('List3_Details'!$B$2:$B$251,A2,'List3_Details'!$D$2:$D$251,"Absent")</f>
        <v/>
      </c>
      <c r="D2" s="26">
        <f>B2+C2</f>
        <v/>
      </c>
    </row>
    <row r="3">
      <c r="A3" s="27" t="n">
        <v>45475</v>
      </c>
      <c r="B3" s="26">
        <f>COUNTIFS('List3_Details'!$B$2:$B$251,A3,'List3_Details'!$D$2:$D$251,"Present")</f>
        <v/>
      </c>
      <c r="C3" s="26">
        <f>COUNTIFS('List3_Details'!$B$2:$B$251,A3,'List3_Details'!$D$2:$D$251,"Absent")</f>
        <v/>
      </c>
      <c r="D3" s="26">
        <f>B3+C3</f>
        <v/>
      </c>
    </row>
    <row r="4">
      <c r="A4" s="30" t="n">
        <v>45476</v>
      </c>
      <c r="B4" s="25">
        <f>COUNTIFS('List3_Details'!$B$2:$B$251,A4,'List3_Details'!$D$2:$D$251,"Present")</f>
        <v/>
      </c>
      <c r="C4" s="25">
        <f>COUNTIFS('List3_Details'!$B$2:$B$251,A4,'List3_Details'!$D$2:$D$251,"Absent")</f>
        <v/>
      </c>
      <c r="D4" s="25">
        <f>B4+C4</f>
        <v/>
      </c>
    </row>
    <row r="5">
      <c r="A5" s="30" t="n">
        <v>45477</v>
      </c>
      <c r="B5" s="25">
        <f>COUNTIFS('List3_Details'!$B$2:$B$251,A5,'List3_Details'!$D$2:$D$251,"Present")</f>
        <v/>
      </c>
      <c r="C5" s="25">
        <f>COUNTIFS('List3_Details'!$B$2:$B$251,A5,'List3_Details'!$D$2:$D$251,"Absent")</f>
        <v/>
      </c>
      <c r="D5" s="25">
        <f>B5+C5</f>
        <v/>
      </c>
    </row>
    <row r="6">
      <c r="A6" s="27" t="n">
        <v>45478</v>
      </c>
      <c r="B6" s="26">
        <f>COUNTIFS('List3_Details'!$B$2:$B$251,A6,'List3_Details'!$D$2:$D$251,"Present")</f>
        <v/>
      </c>
      <c r="C6" s="26">
        <f>COUNTIFS('List3_Details'!$B$2:$B$251,A6,'List3_Details'!$D$2:$D$251,"Absent")</f>
        <v/>
      </c>
      <c r="D6" s="26">
        <f>B6+C6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1" min="1" max="1"/>
    <col width="12" customWidth="1" style="11" min="2" max="2"/>
    <col width="12" customWidth="1" style="11" min="3" max="3"/>
    <col width="22" customWidth="1" style="11" min="4" max="4"/>
    <col width="18" customWidth="1" style="11" min="5" max="5"/>
    <col width="22" customWidth="1" style="11" min="6" max="6"/>
  </cols>
  <sheetData>
    <row r="1">
      <c r="A1" s="25" t="inlineStr">
        <is>
          <t>Department</t>
        </is>
      </c>
      <c r="B1" s="25" t="inlineStr">
        <is>
          <t>Group</t>
        </is>
      </c>
      <c r="C1" s="25" t="inlineStr">
        <is>
          <t>Attendees</t>
        </is>
      </c>
      <c r="D1" s="25" t="inlineStr">
        <is>
          <t>Average attendance %</t>
        </is>
      </c>
      <c r="E1" s="25" t="inlineStr">
        <is>
          <t>Requirements met</t>
        </is>
      </c>
      <c r="F1" s="25" t="inlineStr">
        <is>
          <t>Requirements not met</t>
        </is>
      </c>
    </row>
    <row r="2">
      <c r="A2" s="26" t="inlineStr">
        <is>
          <t>Marketing</t>
        </is>
      </c>
      <c r="B2" s="26" t="inlineStr">
        <is>
          <t>A</t>
        </is>
      </c>
      <c r="C2" s="26">
        <f>COUNTIF('Attendance Tracker'!$D$2:$D$51,A2)</f>
        <v/>
      </c>
      <c r="D2" s="28">
        <f>IFERROR(AVERAGEIF('Attendance Tracker'!$D$2:$D$51,A2,'Attendance Tracker'!$H$2:$H$51),0)</f>
        <v/>
      </c>
      <c r="E2" s="26">
        <f>COUNTIFS('Attendance Tracker'!$D$2:$D$51,A2,'Attendance Tracker'!$I$2:$I$51,"Met")</f>
        <v/>
      </c>
      <c r="F2" s="26">
        <f>COUNTIFS('Attendance Tracker'!$D$2:$D$51,A2,'Attendance Tracker'!$I$2:$I$51,"Not Met")</f>
        <v/>
      </c>
    </row>
    <row r="3">
      <c r="A3" s="26" t="inlineStr">
        <is>
          <t>Sales</t>
        </is>
      </c>
      <c r="B3" s="26" t="inlineStr">
        <is>
          <t>B</t>
        </is>
      </c>
      <c r="C3" s="26">
        <f>COUNTIF('Attendance Tracker'!$D$2:$D$51,A3)</f>
        <v/>
      </c>
      <c r="D3" s="28">
        <f>IFERROR(AVERAGEIF('Attendance Tracker'!$D$2:$D$51,A3,'Attendance Tracker'!$H$2:$H$51),0)</f>
        <v/>
      </c>
      <c r="E3" s="26">
        <f>COUNTIFS('Attendance Tracker'!$D$2:$D$51,A3,'Attendance Tracker'!$I$2:$I$51,"Met")</f>
        <v/>
      </c>
      <c r="F3" s="26">
        <f>COUNTIFS('Attendance Tracker'!$D$2:$D$51,A3,'Attendance Tracker'!$I$2:$I$51,"Not Met")</f>
        <v/>
      </c>
    </row>
    <row r="4">
      <c r="A4" s="25" t="inlineStr">
        <is>
          <t>HR</t>
        </is>
      </c>
      <c r="B4" s="25" t="inlineStr">
        <is>
          <t>C</t>
        </is>
      </c>
      <c r="C4" s="25">
        <f>COUNTIF('Attendance Tracker'!$D$2:$D$51,A4)</f>
        <v/>
      </c>
      <c r="D4" s="29">
        <f>IFERROR(AVERAGEIF('Attendance Tracker'!$D$2:$D$51,A4,'Attendance Tracker'!$H$2:$H$51),0)</f>
        <v/>
      </c>
      <c r="E4" s="25">
        <f>COUNTIFS('Attendance Tracker'!$D$2:$D$51,A4,'Attendance Tracker'!$I$2:$I$51,"Met")</f>
        <v/>
      </c>
      <c r="F4" s="25">
        <f>COUNTIFS('Attendance Tracker'!$D$2:$D$51,A4,'Attendance Tracker'!$I$2:$I$51,"Not Met")</f>
        <v/>
      </c>
    </row>
    <row r="5">
      <c r="A5" s="25" t="inlineStr">
        <is>
          <t>IT</t>
        </is>
      </c>
      <c r="B5" s="25" t="inlineStr">
        <is>
          <t>D</t>
        </is>
      </c>
      <c r="C5" s="25">
        <f>COUNTIF('Attendance Tracker'!$D$2:$D$51,A5)</f>
        <v/>
      </c>
      <c r="D5" s="29">
        <f>IFERROR(AVERAGEIF('Attendance Tracker'!$D$2:$D$51,A5,'Attendance Tracker'!$H$2:$H$51),0)</f>
        <v/>
      </c>
      <c r="E5" s="25">
        <f>COUNTIFS('Attendance Tracker'!$D$2:$D$51,A5,'Attendance Tracker'!$I$2:$I$51,"Met")</f>
        <v/>
      </c>
      <c r="F5" s="25">
        <f>COUNTIFS('Attendance Tracker'!$D$2:$D$51,A5,'Attendance Tracker'!$I$2:$I$51,"Not Met")</f>
        <v/>
      </c>
    </row>
    <row r="6">
      <c r="A6" s="26" t="inlineStr">
        <is>
          <t>Finance</t>
        </is>
      </c>
      <c r="B6" s="26" t="inlineStr">
        <is>
          <t>E</t>
        </is>
      </c>
      <c r="C6" s="26">
        <f>COUNTIF('Attendance Tracker'!$D$2:$D$51,A6)</f>
        <v/>
      </c>
      <c r="D6" s="28">
        <f>IFERROR(AVERAGEIF('Attendance Tracker'!$D$2:$D$51,A6,'Attendance Tracker'!$H$2:$H$51),0)</f>
        <v/>
      </c>
      <c r="E6" s="26">
        <f>COUNTIFS('Attendance Tracker'!$D$2:$D$51,A6,'Attendance Tracker'!$I$2:$I$51,"Met")</f>
        <v/>
      </c>
      <c r="F6" s="26">
        <f>COUNTIFS('Attendance Tracker'!$D$2:$D$51,A6,'Attendance Tracker'!$I$2:$I$51,"Not Met")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style="11" min="1" max="1"/>
  </cols>
  <sheetData>
    <row r="1" ht="28" customHeight="1" s="11">
      <c r="A1" s="20" t="inlineStr">
        <is>
          <t>PivotTable alternative: completed analysis summaries</t>
        </is>
      </c>
    </row>
    <row r="2" ht="55" customHeight="1" s="11">
      <c r="A2" s="13" t="inlineStr">
        <is>
          <t>The Analysis &amp; Pivot Results sheet contains formula-driven summary tables and a chart answering all required analysis questions. Excel PivotTable objects cannot be created directly by this workbook editing method; the summary results provide the same analysis without needing you to drag fields.</t>
        </is>
      </c>
    </row>
    <row r="3" ht="30" customHeight="1" s="11">
      <c r="A3" s="21" t="inlineStr">
        <is>
          <t>PivotTable 1 — Daily attendance from List3_Details</t>
        </is>
      </c>
    </row>
    <row r="4" ht="30" customHeight="1" s="11">
      <c r="A4" s="13" t="inlineStr">
        <is>
          <t>1. Click a cell in the List3_Details table.</t>
        </is>
      </c>
    </row>
    <row r="5" ht="30" customHeight="1" s="11">
      <c r="A5" s="13" t="inlineStr">
        <is>
          <t>2. Choose Insert &gt; PivotTable &gt; From Table/Range &gt; New Worksheet &gt; OK.</t>
        </is>
      </c>
    </row>
    <row r="6" ht="30" customHeight="1" s="11">
      <c r="A6" s="13" t="inlineStr">
        <is>
          <t>3. Drag Date to Rows; drag Attendance status to Columns; drag Name to Values.</t>
        </is>
      </c>
    </row>
    <row r="7" ht="30" customHeight="1" s="11">
      <c r="A7" s="13" t="inlineStr">
        <is>
          <t>4. In Values, open Value Field Settings and choose Count. This shows Present/Absent counts by day.</t>
        </is>
      </c>
    </row>
    <row r="8" ht="30" customHeight="1" s="11">
      <c r="A8" s="21" t="inlineStr">
        <is>
          <t>PivotTable 2 — Department attendance from Attendance Tracker</t>
        </is>
      </c>
    </row>
    <row r="9" ht="30" customHeight="1" s="11">
      <c r="A9" s="13" t="inlineStr">
        <is>
          <t>1. Click a cell in Attendance Tracker.</t>
        </is>
      </c>
    </row>
    <row r="10" ht="30" customHeight="1" s="11">
      <c r="A10" s="13" t="inlineStr">
        <is>
          <t>2. Choose Insert &gt; PivotTable &gt; From Table/Range &gt; New Worksheet &gt; OK.</t>
        </is>
      </c>
    </row>
    <row r="11" ht="30" customHeight="1" s="11">
      <c r="A11" s="13" t="inlineStr">
        <is>
          <t>3. Drag Department to Rows; drag Attendance percentage to Values; set Value Field Settings to Average.</t>
        </is>
      </c>
    </row>
    <row r="12" ht="30" customHeight="1" s="11">
      <c r="A12" s="13" t="inlineStr">
        <is>
          <t>4. Add Name to Rows under Department if you want to compare individual attendees.</t>
        </is>
      </c>
    </row>
    <row r="13" ht="30" customHeight="1" s="11">
      <c r="A13" s="21" t="inlineStr">
        <is>
          <t>PivotTable 3 — Requirement results</t>
        </is>
      </c>
    </row>
    <row r="14" ht="30" customHeight="1" s="11">
      <c r="A14" s="13" t="inlineStr">
        <is>
          <t>1. Insert another PivotTable from Attendance Tracker.</t>
        </is>
      </c>
    </row>
    <row r="15" ht="30" customHeight="1" s="11">
      <c r="A15" s="13" t="inlineStr">
        <is>
          <t>2. Drag Attendance requirement met to Rows; drag Name to Values and set it to Count.</t>
        </is>
      </c>
    </row>
    <row r="16" ht="30" customHeight="1" s="11">
      <c r="A16" s="13" t="inlineStr">
        <is>
          <t>3. For highest/lowest attendees, use Name in Rows and Attendance percentage in Values, then sort largest to smallest or smallest to largest.</t>
        </is>
      </c>
    </row>
    <row r="17" ht="30" customHeight="1" s="11">
      <c r="A17" s="13" t="inlineStr">
        <is>
          <t>If you cannot find PivotTable, tell me which Excel app/version you are using and I will guide you click by click.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14" customWidth="1" style="11" min="1" max="1"/>
    <col width="25" customWidth="1" style="11" min="2" max="2"/>
    <col width="8.859999999999999" customWidth="1" style="11" min="3" max="26"/>
  </cols>
  <sheetData>
    <row r="1" ht="28" customHeight="1" s="11">
      <c r="A1" s="22" t="inlineStr">
        <is>
          <t>Name</t>
        </is>
      </c>
      <c r="B1" s="22" t="inlineStr">
        <is>
          <t>Email Address</t>
        </is>
      </c>
    </row>
    <row r="2">
      <c r="A2" s="2" t="inlineStr">
        <is>
          <t>Attendee 1</t>
        </is>
      </c>
      <c r="B2" s="2" t="inlineStr">
        <is>
          <t>attendee1@company.com</t>
        </is>
      </c>
    </row>
    <row r="3">
      <c r="A3" s="2" t="inlineStr">
        <is>
          <t>Attendee 2</t>
        </is>
      </c>
      <c r="B3" s="2" t="inlineStr">
        <is>
          <t>attendee2@company.com</t>
        </is>
      </c>
    </row>
    <row r="4">
      <c r="A4" s="2" t="inlineStr">
        <is>
          <t>Attendee 3</t>
        </is>
      </c>
      <c r="B4" s="2" t="inlineStr">
        <is>
          <t>attendee3@company.com</t>
        </is>
      </c>
    </row>
    <row r="5">
      <c r="A5" s="2" t="inlineStr">
        <is>
          <t>Attendee 4</t>
        </is>
      </c>
      <c r="B5" s="2" t="inlineStr">
        <is>
          <t>attendee4@company.com</t>
        </is>
      </c>
    </row>
    <row r="6">
      <c r="A6" s="2" t="inlineStr">
        <is>
          <t>Attendee 5</t>
        </is>
      </c>
      <c r="B6" s="2" t="inlineStr">
        <is>
          <t>attendee5@company.com</t>
        </is>
      </c>
    </row>
    <row r="7">
      <c r="A7" s="2" t="inlineStr">
        <is>
          <t>Attendee 6</t>
        </is>
      </c>
      <c r="B7" s="2" t="inlineStr">
        <is>
          <t>attendee6@company.com</t>
        </is>
      </c>
    </row>
    <row r="8">
      <c r="A8" s="2" t="inlineStr">
        <is>
          <t>Attendee 7</t>
        </is>
      </c>
      <c r="B8" s="2" t="inlineStr">
        <is>
          <t>attendee7@company.com</t>
        </is>
      </c>
    </row>
    <row r="9">
      <c r="A9" s="2" t="inlineStr">
        <is>
          <t>Attendee 8</t>
        </is>
      </c>
      <c r="B9" s="2" t="inlineStr">
        <is>
          <t>attendee8@company.com</t>
        </is>
      </c>
    </row>
    <row r="10">
      <c r="A10" s="2" t="inlineStr">
        <is>
          <t>Attendee 9</t>
        </is>
      </c>
      <c r="B10" s="2" t="inlineStr">
        <is>
          <t>attendee9@company.com</t>
        </is>
      </c>
    </row>
    <row r="11">
      <c r="A11" s="2" t="inlineStr">
        <is>
          <t>Attendee 10</t>
        </is>
      </c>
      <c r="B11" s="2" t="inlineStr">
        <is>
          <t>attendee10@company.com</t>
        </is>
      </c>
    </row>
    <row r="12">
      <c r="A12" s="2" t="inlineStr">
        <is>
          <t>Attendee 11</t>
        </is>
      </c>
      <c r="B12" s="2" t="inlineStr">
        <is>
          <t>attendee11@company.com</t>
        </is>
      </c>
    </row>
    <row r="13">
      <c r="A13" s="2" t="inlineStr">
        <is>
          <t>Attendee 12</t>
        </is>
      </c>
      <c r="B13" s="2" t="inlineStr">
        <is>
          <t>attendee12@company.com</t>
        </is>
      </c>
    </row>
    <row r="14">
      <c r="A14" s="2" t="inlineStr">
        <is>
          <t>Attendee 13</t>
        </is>
      </c>
      <c r="B14" s="2" t="inlineStr">
        <is>
          <t>attendee13@company.com</t>
        </is>
      </c>
    </row>
    <row r="15">
      <c r="A15" s="2" t="inlineStr">
        <is>
          <t>Attendee 14</t>
        </is>
      </c>
      <c r="B15" s="2" t="inlineStr">
        <is>
          <t>attendee14@company.com</t>
        </is>
      </c>
    </row>
    <row r="16">
      <c r="A16" s="2" t="inlineStr">
        <is>
          <t>Attendee 15</t>
        </is>
      </c>
      <c r="B16" s="2" t="inlineStr">
        <is>
          <t>attendee15@company.com</t>
        </is>
      </c>
    </row>
    <row r="17">
      <c r="A17" s="2" t="inlineStr">
        <is>
          <t>Attendee 16</t>
        </is>
      </c>
      <c r="B17" s="2" t="inlineStr">
        <is>
          <t>attendee16@company.com</t>
        </is>
      </c>
    </row>
    <row r="18">
      <c r="A18" s="2" t="inlineStr">
        <is>
          <t>Attendee 17</t>
        </is>
      </c>
      <c r="B18" s="2" t="inlineStr">
        <is>
          <t>attendee17@company.com</t>
        </is>
      </c>
    </row>
    <row r="19">
      <c r="A19" s="2" t="inlineStr">
        <is>
          <t>Attendee 18</t>
        </is>
      </c>
      <c r="B19" s="2" t="inlineStr">
        <is>
          <t>attendee18@company.com</t>
        </is>
      </c>
    </row>
    <row r="20">
      <c r="A20" s="2" t="inlineStr">
        <is>
          <t>Attendee 19</t>
        </is>
      </c>
      <c r="B20" s="2" t="inlineStr">
        <is>
          <t>attendee19@company.com</t>
        </is>
      </c>
    </row>
    <row r="21" ht="15.75" customHeight="1" s="11">
      <c r="A21" s="2" t="inlineStr">
        <is>
          <t>Attendee 20</t>
        </is>
      </c>
      <c r="B21" s="2" t="inlineStr">
        <is>
          <t>attendee20@company.com</t>
        </is>
      </c>
    </row>
    <row r="22">
      <c r="A22" s="2" t="inlineStr">
        <is>
          <t>Attendee 7</t>
        </is>
      </c>
      <c r="B22" s="2" t="inlineStr">
        <is>
          <t>attendee7@company.com</t>
        </is>
      </c>
    </row>
    <row r="23">
      <c r="A23" s="2" t="inlineStr">
        <is>
          <t>Attendee 8</t>
        </is>
      </c>
      <c r="B23" s="2" t="inlineStr">
        <is>
          <t>attendee8@company.com</t>
        </is>
      </c>
    </row>
    <row r="24">
      <c r="A24" s="2" t="inlineStr">
        <is>
          <t>Attendee 9</t>
        </is>
      </c>
      <c r="B24" s="2" t="inlineStr">
        <is>
          <t>attendee9@company.com</t>
        </is>
      </c>
    </row>
    <row r="25" ht="15.75" customHeight="1" s="11">
      <c r="A25" s="2" t="inlineStr">
        <is>
          <t>Attendee 21</t>
        </is>
      </c>
      <c r="B25" s="2" t="inlineStr">
        <is>
          <t>attendee21@company.com</t>
        </is>
      </c>
    </row>
    <row r="26" ht="15.75" customHeight="1" s="11">
      <c r="A26" s="2" t="inlineStr">
        <is>
          <t>Attendee 22</t>
        </is>
      </c>
      <c r="B26" s="2" t="inlineStr">
        <is>
          <t>attendee22@company.com</t>
        </is>
      </c>
    </row>
    <row r="27" ht="15.75" customHeight="1" s="11">
      <c r="A27" s="2" t="inlineStr">
        <is>
          <t>Attendee 23</t>
        </is>
      </c>
      <c r="B27" s="2" t="inlineStr">
        <is>
          <t>attendee23@company.com</t>
        </is>
      </c>
    </row>
    <row r="28" ht="15.75" customHeight="1" s="11">
      <c r="A28" s="2" t="inlineStr">
        <is>
          <t>Attendee 24</t>
        </is>
      </c>
      <c r="B28" s="2" t="inlineStr">
        <is>
          <t>attendee24@company.com</t>
        </is>
      </c>
    </row>
    <row r="29" ht="15.75" customHeight="1" s="11">
      <c r="A29" s="2" t="inlineStr">
        <is>
          <t>Attendee 25</t>
        </is>
      </c>
      <c r="B29" s="2" t="inlineStr">
        <is>
          <t>attendee25@company.com</t>
        </is>
      </c>
    </row>
    <row r="30" ht="15.75" customHeight="1" s="11">
      <c r="A30" s="2" t="inlineStr">
        <is>
          <t>Attendee 26</t>
        </is>
      </c>
      <c r="B30" s="2" t="inlineStr">
        <is>
          <t>attendee26@company.com</t>
        </is>
      </c>
    </row>
    <row r="31" ht="15.75" customHeight="1" s="11">
      <c r="A31" s="2" t="inlineStr">
        <is>
          <t>Attendee 27</t>
        </is>
      </c>
      <c r="B31" s="2" t="inlineStr">
        <is>
          <t>attendee27@company.com</t>
        </is>
      </c>
    </row>
    <row r="32" ht="15.75" customHeight="1" s="11">
      <c r="A32" s="2" t="inlineStr">
        <is>
          <t>Attendee 28</t>
        </is>
      </c>
      <c r="B32" s="2" t="inlineStr">
        <is>
          <t>attendee28@company.com</t>
        </is>
      </c>
    </row>
    <row r="33" ht="15.75" customHeight="1" s="11">
      <c r="A33" s="2" t="inlineStr">
        <is>
          <t>Attendee 29</t>
        </is>
      </c>
      <c r="B33" s="2" t="inlineStr">
        <is>
          <t>attendee29@company.com</t>
        </is>
      </c>
    </row>
    <row r="34" ht="15.75" customHeight="1" s="11">
      <c r="A34" s="2" t="inlineStr">
        <is>
          <t>Attendee 30</t>
        </is>
      </c>
      <c r="B34" s="2" t="inlineStr">
        <is>
          <t>attendee30@company.com</t>
        </is>
      </c>
    </row>
    <row r="35" ht="15.75" customHeight="1" s="11">
      <c r="A35" s="2" t="inlineStr">
        <is>
          <t>Attendee 31</t>
        </is>
      </c>
      <c r="B35" s="2" t="inlineStr">
        <is>
          <t>attendee31@company.com</t>
        </is>
      </c>
    </row>
    <row r="36" ht="15.75" customHeight="1" s="11">
      <c r="A36" s="2" t="inlineStr">
        <is>
          <t>Attendee 32</t>
        </is>
      </c>
      <c r="B36" s="2" t="inlineStr">
        <is>
          <t>attendee32@company.com</t>
        </is>
      </c>
    </row>
    <row r="37" ht="15.75" customHeight="1" s="11">
      <c r="A37" s="2" t="inlineStr">
        <is>
          <t>Attendee 33</t>
        </is>
      </c>
      <c r="B37" s="2" t="inlineStr">
        <is>
          <t>attendee33@company.com</t>
        </is>
      </c>
    </row>
    <row r="38" ht="15.75" customHeight="1" s="11">
      <c r="A38" s="2" t="inlineStr">
        <is>
          <t>Attendee 34</t>
        </is>
      </c>
      <c r="B38" s="2" t="inlineStr">
        <is>
          <t>attendee34@company.com</t>
        </is>
      </c>
    </row>
    <row r="39" ht="15.75" customHeight="1" s="11">
      <c r="A39" s="2" t="inlineStr">
        <is>
          <t>Attendee 35</t>
        </is>
      </c>
      <c r="B39" s="2" t="inlineStr">
        <is>
          <t>attendee35@company.com</t>
        </is>
      </c>
    </row>
    <row r="40" ht="15.75" customHeight="1" s="11">
      <c r="A40" s="2" t="inlineStr">
        <is>
          <t>Attendee 36</t>
        </is>
      </c>
      <c r="B40" s="2" t="inlineStr">
        <is>
          <t>attendee36@company.com</t>
        </is>
      </c>
    </row>
    <row r="41" ht="15.75" customHeight="1" s="11">
      <c r="A41" s="2" t="inlineStr">
        <is>
          <t>Attendee 37</t>
        </is>
      </c>
      <c r="B41" s="2" t="inlineStr">
        <is>
          <t>attendee37@company.com</t>
        </is>
      </c>
    </row>
    <row r="42" ht="15.75" customHeight="1" s="11">
      <c r="A42" s="2" t="inlineStr">
        <is>
          <t>Attendee 38</t>
        </is>
      </c>
      <c r="B42" s="2" t="inlineStr">
        <is>
          <t>attendee38@company.com</t>
        </is>
      </c>
    </row>
    <row r="43" ht="15.75" customHeight="1" s="11">
      <c r="A43" s="2" t="inlineStr">
        <is>
          <t>Attendee 39</t>
        </is>
      </c>
      <c r="B43" s="2" t="inlineStr">
        <is>
          <t>attendee39@company.com</t>
        </is>
      </c>
    </row>
    <row r="44" ht="15.75" customHeight="1" s="11">
      <c r="A44" s="2" t="inlineStr">
        <is>
          <t>Attendee 40</t>
        </is>
      </c>
      <c r="B44" s="2" t="inlineStr">
        <is>
          <t>attendee40@company.com</t>
        </is>
      </c>
    </row>
    <row r="45" ht="15.75" customHeight="1" s="11">
      <c r="A45" s="2" t="inlineStr">
        <is>
          <t>Attendee 41</t>
        </is>
      </c>
      <c r="B45" s="2" t="inlineStr">
        <is>
          <t>attendee41@company.com</t>
        </is>
      </c>
    </row>
    <row r="46" ht="15.75" customHeight="1" s="11">
      <c r="A46" s="2" t="inlineStr">
        <is>
          <t>Attendee 42</t>
        </is>
      </c>
      <c r="B46" s="2" t="inlineStr">
        <is>
          <t>attendee42@company.com</t>
        </is>
      </c>
    </row>
    <row r="47" ht="15.75" customHeight="1" s="11">
      <c r="A47" s="2" t="inlineStr">
        <is>
          <t>Attendee 43</t>
        </is>
      </c>
      <c r="B47" s="2" t="inlineStr">
        <is>
          <t>attendee43@company.com</t>
        </is>
      </c>
    </row>
    <row r="48" ht="15.75" customHeight="1" s="11">
      <c r="A48" s="2" t="inlineStr">
        <is>
          <t>Attendee 28</t>
        </is>
      </c>
      <c r="B48" s="2" t="inlineStr">
        <is>
          <t>attendee28@company.com</t>
        </is>
      </c>
    </row>
    <row r="49" ht="15.75" customHeight="1" s="11">
      <c r="A49" s="2" t="inlineStr">
        <is>
          <t>Attendee 29</t>
        </is>
      </c>
      <c r="B49" s="2" t="inlineStr">
        <is>
          <t>attendee29@company.com</t>
        </is>
      </c>
    </row>
    <row r="50" ht="15.75" customHeight="1" s="11">
      <c r="A50" s="2" t="inlineStr">
        <is>
          <t>Attendee 30</t>
        </is>
      </c>
      <c r="B50" s="2" t="inlineStr">
        <is>
          <t>attendee30@company.com</t>
        </is>
      </c>
    </row>
    <row r="51" ht="15.75" customHeight="1" s="11">
      <c r="A51" s="2" t="inlineStr">
        <is>
          <t>Attendee 31</t>
        </is>
      </c>
      <c r="B51" s="2" t="inlineStr">
        <is>
          <t>attendee31@company.com</t>
        </is>
      </c>
    </row>
    <row r="52" ht="15.75" customHeight="1" s="11">
      <c r="A52" s="2" t="inlineStr">
        <is>
          <t>Attendee 44</t>
        </is>
      </c>
      <c r="B52" s="2" t="inlineStr">
        <is>
          <t>attendee44@company.com</t>
        </is>
      </c>
    </row>
    <row r="53" ht="15.75" customHeight="1" s="11">
      <c r="A53" s="2" t="inlineStr">
        <is>
          <t>Attendee 45</t>
        </is>
      </c>
      <c r="B53" s="2" t="inlineStr">
        <is>
          <t>attendee45@company.com</t>
        </is>
      </c>
    </row>
    <row r="54" ht="15.75" customHeight="1" s="11">
      <c r="A54" s="2" t="inlineStr">
        <is>
          <t>Attendee 46</t>
        </is>
      </c>
      <c r="B54" s="2" t="inlineStr">
        <is>
          <t>attendee46@company.com</t>
        </is>
      </c>
    </row>
    <row r="55" ht="15.75" customHeight="1" s="11">
      <c r="A55" s="2" t="inlineStr">
        <is>
          <t>Attendee 47</t>
        </is>
      </c>
      <c r="B55" s="2" t="inlineStr">
        <is>
          <t>attendee47@company.com</t>
        </is>
      </c>
    </row>
    <row r="56" ht="15.75" customHeight="1" s="11">
      <c r="A56" s="2" t="inlineStr">
        <is>
          <t>Attendee 48</t>
        </is>
      </c>
      <c r="B56" s="2" t="inlineStr">
        <is>
          <t>attendee48@company.com</t>
        </is>
      </c>
    </row>
    <row r="57" ht="15.75" customHeight="1" s="11">
      <c r="A57" s="2" t="inlineStr">
        <is>
          <t>Attendee 49</t>
        </is>
      </c>
      <c r="B57" s="2" t="inlineStr">
        <is>
          <t>attendee49@company.com</t>
        </is>
      </c>
    </row>
    <row r="58" ht="15.75" customHeight="1" s="11">
      <c r="A58" s="2" t="inlineStr">
        <is>
          <t>Attendee 50</t>
        </is>
      </c>
      <c r="B58" s="2" t="inlineStr">
        <is>
          <t>attendee50@company.com</t>
        </is>
      </c>
    </row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  <row r="1001" ht="15.75" customHeight="1" s="11"/>
    <row r="1002" ht="15.75" customHeight="1" s="11"/>
    <row r="1003" ht="15.75" customHeight="1" s="11"/>
    <row r="1004" ht="15.75" customHeight="1" s="11"/>
    <row r="1005" ht="15.75" customHeight="1" s="11"/>
    <row r="1006" ht="15.75" customHeight="1" s="11"/>
    <row r="1007" ht="15.75" customHeight="1" s="11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14" customWidth="1" style="11" min="1" max="1"/>
    <col width="13" customWidth="1" style="11" min="2" max="2"/>
    <col width="13" customWidth="1" style="11" min="3" max="26"/>
    <col width="14" customWidth="1" style="11" min="4" max="4"/>
    <col width="13" customWidth="1" style="11" min="5" max="5"/>
  </cols>
  <sheetData>
    <row r="1" ht="28" customHeight="1" s="11">
      <c r="A1" s="22" t="inlineStr">
        <is>
          <t>Name</t>
        </is>
      </c>
      <c r="B1" s="22" t="inlineStr">
        <is>
          <t>Department</t>
        </is>
      </c>
      <c r="C1" s="14" t="n"/>
      <c r="D1" s="14" t="inlineStr">
        <is>
          <t>Legend</t>
        </is>
      </c>
      <c r="E1" s="14" t="n"/>
    </row>
    <row r="2">
      <c r="A2" s="2" t="inlineStr">
        <is>
          <t>Attendee 1</t>
        </is>
      </c>
      <c r="B2" s="2" t="inlineStr">
        <is>
          <t>Marketing</t>
        </is>
      </c>
      <c r="D2" s="6" t="inlineStr">
        <is>
          <t xml:space="preserve">Department </t>
        </is>
      </c>
      <c r="E2" s="6" t="inlineStr">
        <is>
          <t>Group</t>
        </is>
      </c>
    </row>
    <row r="3">
      <c r="A3" s="2" t="inlineStr">
        <is>
          <t>Attendee 2</t>
        </is>
      </c>
      <c r="B3" s="2" t="inlineStr">
        <is>
          <t>Sales</t>
        </is>
      </c>
      <c r="D3" s="7" t="inlineStr">
        <is>
          <t>Marketing</t>
        </is>
      </c>
      <c r="E3" s="7" t="inlineStr">
        <is>
          <t>A</t>
        </is>
      </c>
    </row>
    <row r="4">
      <c r="A4" s="2" t="inlineStr">
        <is>
          <t>Attendee 3</t>
        </is>
      </c>
      <c r="B4" s="2" t="inlineStr">
        <is>
          <t>HR</t>
        </is>
      </c>
      <c r="D4" s="7" t="inlineStr">
        <is>
          <t>Sales</t>
        </is>
      </c>
      <c r="E4" s="7" t="inlineStr">
        <is>
          <t>B</t>
        </is>
      </c>
    </row>
    <row r="5">
      <c r="A5" s="2" t="inlineStr">
        <is>
          <t>Attendee 4</t>
        </is>
      </c>
      <c r="B5" s="2" t="inlineStr">
        <is>
          <t>IT</t>
        </is>
      </c>
      <c r="D5" s="7" t="inlineStr">
        <is>
          <t>HR</t>
        </is>
      </c>
      <c r="E5" s="7" t="inlineStr">
        <is>
          <t>C</t>
        </is>
      </c>
    </row>
    <row r="6">
      <c r="A6" s="2" t="inlineStr">
        <is>
          <t>Attendee 5</t>
        </is>
      </c>
      <c r="B6" s="2" t="inlineStr">
        <is>
          <t>Finance</t>
        </is>
      </c>
      <c r="D6" s="7" t="inlineStr">
        <is>
          <t>IT</t>
        </is>
      </c>
      <c r="E6" s="7" t="inlineStr">
        <is>
          <t>D</t>
        </is>
      </c>
    </row>
    <row r="7">
      <c r="A7" s="2" t="inlineStr">
        <is>
          <t>Attendee 6</t>
        </is>
      </c>
      <c r="B7" s="2" t="inlineStr">
        <is>
          <t>Marketing</t>
        </is>
      </c>
      <c r="D7" s="7" t="inlineStr">
        <is>
          <t>Finance</t>
        </is>
      </c>
      <c r="E7" s="7" t="inlineStr">
        <is>
          <t>E</t>
        </is>
      </c>
    </row>
    <row r="8">
      <c r="A8" s="2" t="inlineStr">
        <is>
          <t>Attendee 7</t>
        </is>
      </c>
      <c r="B8" s="2" t="inlineStr">
        <is>
          <t>Sales</t>
        </is>
      </c>
      <c r="D8" s="7" t="n"/>
      <c r="E8" s="7" t="n"/>
    </row>
    <row r="9">
      <c r="A9" s="2" t="inlineStr">
        <is>
          <t>Attendee 8</t>
        </is>
      </c>
      <c r="B9" s="2" t="inlineStr">
        <is>
          <t>HR</t>
        </is>
      </c>
      <c r="D9" s="7" t="n"/>
      <c r="E9" s="7" t="n"/>
    </row>
    <row r="10">
      <c r="A10" s="2" t="inlineStr">
        <is>
          <t>Attendee 9</t>
        </is>
      </c>
      <c r="B10" s="2" t="inlineStr">
        <is>
          <t>IT</t>
        </is>
      </c>
    </row>
    <row r="11">
      <c r="A11" s="2" t="inlineStr">
        <is>
          <t>Attendee 10</t>
        </is>
      </c>
      <c r="B11" s="2" t="inlineStr">
        <is>
          <t>Finance</t>
        </is>
      </c>
    </row>
    <row r="12">
      <c r="A12" s="2" t="inlineStr">
        <is>
          <t>Attendee 11</t>
        </is>
      </c>
      <c r="B12" s="2" t="inlineStr">
        <is>
          <t>Marketing</t>
        </is>
      </c>
    </row>
    <row r="13">
      <c r="A13" s="2" t="inlineStr">
        <is>
          <t>Attendee 12</t>
        </is>
      </c>
      <c r="B13" s="2" t="inlineStr">
        <is>
          <t>Sales</t>
        </is>
      </c>
    </row>
    <row r="14">
      <c r="A14" s="2" t="inlineStr">
        <is>
          <t>Attendee 13</t>
        </is>
      </c>
      <c r="B14" s="2" t="inlineStr">
        <is>
          <t>HR</t>
        </is>
      </c>
    </row>
    <row r="15">
      <c r="A15" s="2" t="inlineStr">
        <is>
          <t>Attendee 14</t>
        </is>
      </c>
      <c r="B15" s="2" t="inlineStr">
        <is>
          <t>IT</t>
        </is>
      </c>
    </row>
    <row r="16">
      <c r="A16" s="2" t="inlineStr">
        <is>
          <t>Attendee 15</t>
        </is>
      </c>
      <c r="B16" s="2" t="inlineStr">
        <is>
          <t>Finance</t>
        </is>
      </c>
    </row>
    <row r="17">
      <c r="A17" s="2" t="inlineStr">
        <is>
          <t>Attendee 16</t>
        </is>
      </c>
      <c r="B17" s="2" t="inlineStr">
        <is>
          <t>Marketing</t>
        </is>
      </c>
    </row>
    <row r="18">
      <c r="A18" s="2" t="inlineStr">
        <is>
          <t>Attendee 17</t>
        </is>
      </c>
      <c r="B18" s="2" t="inlineStr">
        <is>
          <t>Sales</t>
        </is>
      </c>
    </row>
    <row r="19">
      <c r="A19" s="2" t="inlineStr">
        <is>
          <t>Attendee 18</t>
        </is>
      </c>
      <c r="B19" s="2" t="inlineStr">
        <is>
          <t>HR</t>
        </is>
      </c>
    </row>
    <row r="20">
      <c r="A20" s="2" t="inlineStr">
        <is>
          <t>Attendee 19</t>
        </is>
      </c>
      <c r="B20" s="2" t="inlineStr">
        <is>
          <t>IT</t>
        </is>
      </c>
    </row>
    <row r="21" ht="15.75" customHeight="1" s="11">
      <c r="A21" s="2" t="inlineStr">
        <is>
          <t>Attendee 20</t>
        </is>
      </c>
      <c r="B21" s="2" t="inlineStr">
        <is>
          <t>Finance</t>
        </is>
      </c>
    </row>
    <row r="22" ht="15.75" customHeight="1" s="11">
      <c r="A22" s="2" t="inlineStr">
        <is>
          <t>Attendee 21</t>
        </is>
      </c>
      <c r="B22" s="2" t="inlineStr">
        <is>
          <t>Marketing</t>
        </is>
      </c>
    </row>
    <row r="23" ht="15.75" customHeight="1" s="11">
      <c r="A23" s="2" t="inlineStr">
        <is>
          <t>Attendee 22</t>
        </is>
      </c>
      <c r="B23" s="2" t="inlineStr">
        <is>
          <t>Sales</t>
        </is>
      </c>
    </row>
    <row r="24" ht="15.75" customHeight="1" s="11">
      <c r="A24" s="2" t="inlineStr">
        <is>
          <t>Attendee 23</t>
        </is>
      </c>
      <c r="B24" s="2" t="inlineStr">
        <is>
          <t>HR</t>
        </is>
      </c>
    </row>
    <row r="25" ht="15.75" customHeight="1" s="11">
      <c r="A25" s="2" t="inlineStr">
        <is>
          <t>Attendee 24</t>
        </is>
      </c>
      <c r="B25" s="2" t="inlineStr">
        <is>
          <t>IT</t>
        </is>
      </c>
    </row>
    <row r="26" ht="15.75" customHeight="1" s="11">
      <c r="A26" s="2" t="inlineStr">
        <is>
          <t>Attendee 25</t>
        </is>
      </c>
      <c r="B26" s="2" t="inlineStr">
        <is>
          <t>Finance</t>
        </is>
      </c>
    </row>
    <row r="27" ht="15.75" customHeight="1" s="11">
      <c r="A27" s="2" t="inlineStr">
        <is>
          <t>Attendee 26</t>
        </is>
      </c>
      <c r="B27" s="2" t="inlineStr">
        <is>
          <t>Marketing</t>
        </is>
      </c>
    </row>
    <row r="28" ht="15.75" customHeight="1" s="11">
      <c r="A28" s="2" t="inlineStr">
        <is>
          <t>Attendee 27</t>
        </is>
      </c>
      <c r="B28" s="2" t="inlineStr">
        <is>
          <t>Sales</t>
        </is>
      </c>
    </row>
    <row r="29" ht="15.75" customHeight="1" s="11">
      <c r="A29" s="2" t="inlineStr">
        <is>
          <t>Attendee 28</t>
        </is>
      </c>
      <c r="B29" s="2" t="inlineStr">
        <is>
          <t>HR</t>
        </is>
      </c>
    </row>
    <row r="30" ht="15.75" customHeight="1" s="11">
      <c r="A30" s="2" t="inlineStr">
        <is>
          <t>Attendee 29</t>
        </is>
      </c>
      <c r="B30" s="2" t="inlineStr">
        <is>
          <t>IT</t>
        </is>
      </c>
    </row>
    <row r="31" ht="15.75" customHeight="1" s="11">
      <c r="A31" s="2" t="inlineStr">
        <is>
          <t>Attendee 30</t>
        </is>
      </c>
      <c r="B31" s="2" t="inlineStr">
        <is>
          <t>Finance</t>
        </is>
      </c>
    </row>
    <row r="32" ht="15.75" customHeight="1" s="11">
      <c r="A32" s="2" t="inlineStr">
        <is>
          <t>Attendee 31</t>
        </is>
      </c>
      <c r="B32" s="2" t="inlineStr">
        <is>
          <t>Marketing</t>
        </is>
      </c>
    </row>
    <row r="33" ht="15.75" customHeight="1" s="11">
      <c r="A33" s="2" t="inlineStr">
        <is>
          <t>Attendee 32</t>
        </is>
      </c>
      <c r="B33" s="2" t="inlineStr">
        <is>
          <t>Sales</t>
        </is>
      </c>
    </row>
    <row r="34" ht="15.75" customHeight="1" s="11">
      <c r="A34" s="2" t="inlineStr">
        <is>
          <t>Attendee 33</t>
        </is>
      </c>
      <c r="B34" s="2" t="inlineStr">
        <is>
          <t>HR</t>
        </is>
      </c>
    </row>
    <row r="35" ht="15.75" customHeight="1" s="11">
      <c r="A35" s="2" t="inlineStr">
        <is>
          <t>Attendee 34</t>
        </is>
      </c>
      <c r="B35" s="2" t="inlineStr">
        <is>
          <t>IT</t>
        </is>
      </c>
    </row>
    <row r="36" ht="15.75" customHeight="1" s="11">
      <c r="A36" s="2" t="inlineStr">
        <is>
          <t>Attendee 35</t>
        </is>
      </c>
      <c r="B36" s="2" t="inlineStr">
        <is>
          <t>Finance</t>
        </is>
      </c>
    </row>
    <row r="37" ht="15.75" customHeight="1" s="11">
      <c r="A37" s="2" t="inlineStr">
        <is>
          <t>Attendee 36</t>
        </is>
      </c>
      <c r="B37" s="2" t="inlineStr">
        <is>
          <t>Marketing</t>
        </is>
      </c>
    </row>
    <row r="38" ht="15.75" customHeight="1" s="11">
      <c r="A38" s="2" t="inlineStr">
        <is>
          <t>Attendee 37</t>
        </is>
      </c>
      <c r="B38" s="2" t="inlineStr">
        <is>
          <t>Sales</t>
        </is>
      </c>
    </row>
    <row r="39" ht="15.75" customHeight="1" s="11">
      <c r="A39" s="2" t="inlineStr">
        <is>
          <t>Attendee 38</t>
        </is>
      </c>
      <c r="B39" s="2" t="inlineStr">
        <is>
          <t>HR</t>
        </is>
      </c>
    </row>
    <row r="40" ht="15.75" customHeight="1" s="11">
      <c r="A40" s="2" t="inlineStr">
        <is>
          <t>Attendee 39</t>
        </is>
      </c>
      <c r="B40" s="2" t="inlineStr">
        <is>
          <t>IT</t>
        </is>
      </c>
    </row>
    <row r="41" ht="15.75" customHeight="1" s="11">
      <c r="A41" s="2" t="inlineStr">
        <is>
          <t>Attendee 40</t>
        </is>
      </c>
      <c r="B41" s="2" t="inlineStr">
        <is>
          <t>Finance</t>
        </is>
      </c>
    </row>
    <row r="42" ht="15.75" customHeight="1" s="11">
      <c r="A42" s="2" t="inlineStr">
        <is>
          <t>Attendee 41</t>
        </is>
      </c>
      <c r="B42" s="2" t="inlineStr">
        <is>
          <t>Marketing</t>
        </is>
      </c>
    </row>
    <row r="43" ht="15.75" customHeight="1" s="11">
      <c r="A43" s="2" t="inlineStr">
        <is>
          <t>Attendee 42</t>
        </is>
      </c>
      <c r="B43" s="2" t="inlineStr">
        <is>
          <t>Sales</t>
        </is>
      </c>
    </row>
    <row r="44" ht="15.75" customHeight="1" s="11">
      <c r="A44" s="2" t="inlineStr">
        <is>
          <t>Attendee 43</t>
        </is>
      </c>
      <c r="B44" s="2" t="inlineStr">
        <is>
          <t>HR</t>
        </is>
      </c>
    </row>
    <row r="45" ht="15.75" customHeight="1" s="11">
      <c r="A45" s="2" t="inlineStr">
        <is>
          <t>Attendee 44</t>
        </is>
      </c>
      <c r="B45" s="2" t="inlineStr">
        <is>
          <t>IT</t>
        </is>
      </c>
    </row>
    <row r="46" ht="15.75" customHeight="1" s="11">
      <c r="A46" s="2" t="inlineStr">
        <is>
          <t>Attendee 45</t>
        </is>
      </c>
      <c r="B46" s="2" t="inlineStr">
        <is>
          <t>Finance</t>
        </is>
      </c>
    </row>
    <row r="47" ht="15.75" customHeight="1" s="11">
      <c r="A47" s="2" t="inlineStr">
        <is>
          <t>Attendee 46</t>
        </is>
      </c>
      <c r="B47" s="2" t="inlineStr">
        <is>
          <t>Marketing</t>
        </is>
      </c>
    </row>
    <row r="48" ht="15.75" customHeight="1" s="11">
      <c r="A48" s="2" t="inlineStr">
        <is>
          <t>Attendee 47</t>
        </is>
      </c>
      <c r="B48" s="2" t="inlineStr">
        <is>
          <t>Sales</t>
        </is>
      </c>
    </row>
    <row r="49" ht="15.75" customHeight="1" s="11">
      <c r="A49" s="2" t="inlineStr">
        <is>
          <t>Attendee 48</t>
        </is>
      </c>
      <c r="B49" s="2" t="inlineStr">
        <is>
          <t>HR</t>
        </is>
      </c>
    </row>
    <row r="50" ht="15.75" customHeight="1" s="11">
      <c r="A50" s="2" t="inlineStr">
        <is>
          <t>Attendee 49</t>
        </is>
      </c>
      <c r="B50" s="2" t="inlineStr">
        <is>
          <t>IT</t>
        </is>
      </c>
    </row>
    <row r="51" ht="15.75" customHeight="1" s="11">
      <c r="A51" s="2" t="inlineStr">
        <is>
          <t>Attendee 50</t>
        </is>
      </c>
      <c r="B51" s="2" t="inlineStr">
        <is>
          <t>Finance</t>
        </is>
      </c>
    </row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14" customWidth="1" style="11" min="1" max="1"/>
    <col width="22" customWidth="1" style="11" min="2" max="22"/>
    <col width="13" customWidth="1" style="11" min="3" max="3"/>
    <col width="30" customWidth="1" style="11" min="4" max="4"/>
    <col width="25" customWidth="1" style="11" min="5" max="5"/>
  </cols>
  <sheetData>
    <row r="1" ht="28" customHeight="1" s="11">
      <c r="A1" s="22" t="inlineStr">
        <is>
          <t>Name</t>
        </is>
      </c>
      <c r="B1" s="22" t="inlineStr">
        <is>
          <t>Date</t>
        </is>
      </c>
      <c r="C1" s="22" t="inlineStr">
        <is>
          <t>Attended</t>
        </is>
      </c>
      <c r="D1" s="0" t="inlineStr">
        <is>
          <t>Attendance status</t>
        </is>
      </c>
      <c r="E1" s="0" t="inlineStr">
        <is>
          <t>Attendance count</t>
        </is>
      </c>
    </row>
    <row r="2">
      <c r="A2" s="2" t="inlineStr">
        <is>
          <t>Attendee 1</t>
        </is>
      </c>
      <c r="B2" s="31" t="n">
        <v>45474</v>
      </c>
      <c r="C2" s="2" t="inlineStr">
        <is>
          <t>Yes</t>
        </is>
      </c>
      <c r="D2" s="0">
        <f>IF(C2="Yes","Present",IF(C2="No","Absent",""))</f>
        <v/>
      </c>
      <c r="E2" s="0">
        <f>IF(D2="Present",1,0)</f>
        <v/>
      </c>
    </row>
    <row r="3">
      <c r="A3" s="2" t="inlineStr">
        <is>
          <t>Attendee 2</t>
        </is>
      </c>
      <c r="B3" s="31" t="n">
        <v>45474</v>
      </c>
      <c r="C3" s="2" t="inlineStr">
        <is>
          <t>No</t>
        </is>
      </c>
      <c r="D3" s="0">
        <f>IF(C3="Yes","Present",IF(C3="No","Absent",""))</f>
        <v/>
      </c>
      <c r="E3" s="0">
        <f>IF(D3="Present",1,0)</f>
        <v/>
      </c>
    </row>
    <row r="4">
      <c r="A4" s="2" t="inlineStr">
        <is>
          <t>Attendee 3</t>
        </is>
      </c>
      <c r="B4" s="31" t="n">
        <v>45474</v>
      </c>
      <c r="C4" s="2" t="inlineStr">
        <is>
          <t>Yes</t>
        </is>
      </c>
      <c r="D4" s="0">
        <f>IF(C4="Yes","Present",IF(C4="No","Absent",""))</f>
        <v/>
      </c>
      <c r="E4" s="0">
        <f>IF(D4="Present",1,0)</f>
        <v/>
      </c>
    </row>
    <row r="5">
      <c r="A5" s="2" t="inlineStr">
        <is>
          <t>Attendee 4</t>
        </is>
      </c>
      <c r="B5" s="31" t="n">
        <v>45474</v>
      </c>
      <c r="C5" s="2" t="inlineStr">
        <is>
          <t>No</t>
        </is>
      </c>
      <c r="D5" s="0">
        <f>IF(C5="Yes","Present",IF(C5="No","Absent",""))</f>
        <v/>
      </c>
      <c r="E5" s="0">
        <f>IF(D5="Present",1,0)</f>
        <v/>
      </c>
    </row>
    <row r="6">
      <c r="A6" s="2" t="inlineStr">
        <is>
          <t>Attendee 5</t>
        </is>
      </c>
      <c r="B6" s="31" t="n">
        <v>45474</v>
      </c>
      <c r="C6" s="2" t="inlineStr">
        <is>
          <t>Yes</t>
        </is>
      </c>
      <c r="D6" s="0">
        <f>IF(C6="Yes","Present",IF(C6="No","Absent",""))</f>
        <v/>
      </c>
      <c r="E6" s="0">
        <f>IF(D6="Present",1,0)</f>
        <v/>
      </c>
    </row>
    <row r="7">
      <c r="A7" s="2" t="inlineStr">
        <is>
          <t>Attendee 6</t>
        </is>
      </c>
      <c r="B7" s="31" t="n">
        <v>45474</v>
      </c>
      <c r="C7" s="2" t="inlineStr">
        <is>
          <t>No</t>
        </is>
      </c>
      <c r="D7" s="0">
        <f>IF(C7="Yes","Present",IF(C7="No","Absent",""))</f>
        <v/>
      </c>
      <c r="E7" s="0">
        <f>IF(D7="Present",1,0)</f>
        <v/>
      </c>
    </row>
    <row r="8">
      <c r="A8" s="2" t="inlineStr">
        <is>
          <t>Attendee 7</t>
        </is>
      </c>
      <c r="B8" s="31" t="n">
        <v>45474</v>
      </c>
      <c r="C8" s="2" t="inlineStr">
        <is>
          <t>Yes</t>
        </is>
      </c>
      <c r="D8" s="0">
        <f>IF(C8="Yes","Present",IF(C8="No","Absent",""))</f>
        <v/>
      </c>
      <c r="E8" s="0">
        <f>IF(D8="Present",1,0)</f>
        <v/>
      </c>
    </row>
    <row r="9">
      <c r="A9" s="2" t="inlineStr">
        <is>
          <t>Attendee 8</t>
        </is>
      </c>
      <c r="B9" s="31" t="n">
        <v>45474</v>
      </c>
      <c r="C9" s="2" t="inlineStr">
        <is>
          <t>No</t>
        </is>
      </c>
      <c r="D9" s="0">
        <f>IF(C9="Yes","Present",IF(C9="No","Absent",""))</f>
        <v/>
      </c>
      <c r="E9" s="0">
        <f>IF(D9="Present",1,0)</f>
        <v/>
      </c>
    </row>
    <row r="10">
      <c r="A10" s="2" t="inlineStr">
        <is>
          <t>Attendee 9</t>
        </is>
      </c>
      <c r="B10" s="31" t="n">
        <v>45474</v>
      </c>
      <c r="C10" s="2" t="inlineStr">
        <is>
          <t>Yes</t>
        </is>
      </c>
      <c r="D10" s="0">
        <f>IF(C10="Yes","Present",IF(C10="No","Absent",""))</f>
        <v/>
      </c>
      <c r="E10" s="0">
        <f>IF(D10="Present",1,0)</f>
        <v/>
      </c>
    </row>
    <row r="11">
      <c r="A11" s="2" t="inlineStr">
        <is>
          <t>Attendee 10</t>
        </is>
      </c>
      <c r="B11" s="31" t="n">
        <v>45474</v>
      </c>
      <c r="C11" s="2" t="inlineStr">
        <is>
          <t>No</t>
        </is>
      </c>
      <c r="D11" s="0">
        <f>IF(C11="Yes","Present",IF(C11="No","Absent",""))</f>
        <v/>
      </c>
      <c r="E11" s="0">
        <f>IF(D11="Present",1,0)</f>
        <v/>
      </c>
    </row>
    <row r="12">
      <c r="A12" s="2" t="inlineStr">
        <is>
          <t>Attendee 11</t>
        </is>
      </c>
      <c r="B12" s="31" t="n">
        <v>45474</v>
      </c>
      <c r="C12" s="2" t="inlineStr">
        <is>
          <t>Yes</t>
        </is>
      </c>
      <c r="D12" s="0">
        <f>IF(C12="Yes","Present",IF(C12="No","Absent",""))</f>
        <v/>
      </c>
      <c r="E12" s="0">
        <f>IF(D12="Present",1,0)</f>
        <v/>
      </c>
    </row>
    <row r="13">
      <c r="A13" s="2" t="inlineStr">
        <is>
          <t>Attendee 12</t>
        </is>
      </c>
      <c r="B13" s="31" t="n">
        <v>45474</v>
      </c>
      <c r="C13" s="2" t="inlineStr">
        <is>
          <t>No</t>
        </is>
      </c>
      <c r="D13" s="0">
        <f>IF(C13="Yes","Present",IF(C13="No","Absent",""))</f>
        <v/>
      </c>
      <c r="E13" s="0">
        <f>IF(D13="Present",1,0)</f>
        <v/>
      </c>
    </row>
    <row r="14">
      <c r="A14" s="2" t="inlineStr">
        <is>
          <t>Attendee 13</t>
        </is>
      </c>
      <c r="B14" s="31" t="n">
        <v>45474</v>
      </c>
      <c r="C14" s="2" t="inlineStr">
        <is>
          <t>Yes</t>
        </is>
      </c>
      <c r="D14" s="0">
        <f>IF(C14="Yes","Present",IF(C14="No","Absent",""))</f>
        <v/>
      </c>
      <c r="E14" s="0">
        <f>IF(D14="Present",1,0)</f>
        <v/>
      </c>
    </row>
    <row r="15">
      <c r="A15" s="2" t="inlineStr">
        <is>
          <t>Attendee 14</t>
        </is>
      </c>
      <c r="B15" s="31" t="n">
        <v>45474</v>
      </c>
      <c r="C15" s="2" t="inlineStr">
        <is>
          <t>No</t>
        </is>
      </c>
      <c r="D15" s="0">
        <f>IF(C15="Yes","Present",IF(C15="No","Absent",""))</f>
        <v/>
      </c>
      <c r="E15" s="0">
        <f>IF(D15="Present",1,0)</f>
        <v/>
      </c>
    </row>
    <row r="16">
      <c r="A16" s="2" t="inlineStr">
        <is>
          <t>Attendee 15</t>
        </is>
      </c>
      <c r="B16" s="31" t="n">
        <v>45474</v>
      </c>
      <c r="C16" s="2" t="inlineStr">
        <is>
          <t>Yes</t>
        </is>
      </c>
      <c r="D16" s="0">
        <f>IF(C16="Yes","Present",IF(C16="No","Absent",""))</f>
        <v/>
      </c>
      <c r="E16" s="0">
        <f>IF(D16="Present",1,0)</f>
        <v/>
      </c>
    </row>
    <row r="17">
      <c r="A17" s="2" t="inlineStr">
        <is>
          <t>Attendee 16</t>
        </is>
      </c>
      <c r="B17" s="31" t="n">
        <v>45474</v>
      </c>
      <c r="C17" s="2" t="inlineStr">
        <is>
          <t>No</t>
        </is>
      </c>
      <c r="D17" s="0">
        <f>IF(C17="Yes","Present",IF(C17="No","Absent",""))</f>
        <v/>
      </c>
      <c r="E17" s="0">
        <f>IF(D17="Present",1,0)</f>
        <v/>
      </c>
    </row>
    <row r="18">
      <c r="A18" s="2" t="inlineStr">
        <is>
          <t>Attendee 17</t>
        </is>
      </c>
      <c r="B18" s="31" t="n">
        <v>45474</v>
      </c>
      <c r="C18" s="2" t="inlineStr">
        <is>
          <t>Yes</t>
        </is>
      </c>
      <c r="D18" s="0">
        <f>IF(C18="Yes","Present",IF(C18="No","Absent",""))</f>
        <v/>
      </c>
      <c r="E18" s="0">
        <f>IF(D18="Present",1,0)</f>
        <v/>
      </c>
    </row>
    <row r="19">
      <c r="A19" s="2" t="inlineStr">
        <is>
          <t>Attendee 18</t>
        </is>
      </c>
      <c r="B19" s="31" t="n">
        <v>45474</v>
      </c>
      <c r="C19" s="2" t="inlineStr">
        <is>
          <t>No</t>
        </is>
      </c>
      <c r="D19" s="0">
        <f>IF(C19="Yes","Present",IF(C19="No","Absent",""))</f>
        <v/>
      </c>
      <c r="E19" s="0">
        <f>IF(D19="Present",1,0)</f>
        <v/>
      </c>
    </row>
    <row r="20">
      <c r="A20" s="2" t="inlineStr">
        <is>
          <t>Attendee 19</t>
        </is>
      </c>
      <c r="B20" s="31" t="n">
        <v>45474</v>
      </c>
      <c r="C20" s="2" t="inlineStr">
        <is>
          <t>Yes</t>
        </is>
      </c>
      <c r="D20" s="0">
        <f>IF(C20="Yes","Present",IF(C20="No","Absent",""))</f>
        <v/>
      </c>
      <c r="E20" s="0">
        <f>IF(D20="Present",1,0)</f>
        <v/>
      </c>
    </row>
    <row r="21" ht="15.75" customHeight="1" s="11">
      <c r="A21" s="2" t="inlineStr">
        <is>
          <t>Attendee 20</t>
        </is>
      </c>
      <c r="B21" s="31" t="n">
        <v>45474</v>
      </c>
      <c r="C21" s="2" t="inlineStr">
        <is>
          <t>No</t>
        </is>
      </c>
      <c r="D21" s="0">
        <f>IF(C21="Yes","Present",IF(C21="No","Absent",""))</f>
        <v/>
      </c>
      <c r="E21" s="0">
        <f>IF(D21="Present",1,0)</f>
        <v/>
      </c>
    </row>
    <row r="22" ht="15.75" customHeight="1" s="11">
      <c r="A22" s="2" t="inlineStr">
        <is>
          <t>Attendee 21</t>
        </is>
      </c>
      <c r="B22" s="31" t="n">
        <v>45474</v>
      </c>
      <c r="C22" s="2" t="inlineStr">
        <is>
          <t>Yes</t>
        </is>
      </c>
      <c r="D22" s="0">
        <f>IF(C22="Yes","Present",IF(C22="No","Absent",""))</f>
        <v/>
      </c>
      <c r="E22" s="0">
        <f>IF(D22="Present",1,0)</f>
        <v/>
      </c>
    </row>
    <row r="23" ht="15.75" customHeight="1" s="11">
      <c r="A23" s="2" t="inlineStr">
        <is>
          <t>Attendee 22</t>
        </is>
      </c>
      <c r="B23" s="31" t="n">
        <v>45474</v>
      </c>
      <c r="C23" s="2" t="inlineStr">
        <is>
          <t>No</t>
        </is>
      </c>
      <c r="D23" s="0">
        <f>IF(C23="Yes","Present",IF(C23="No","Absent",""))</f>
        <v/>
      </c>
      <c r="E23" s="0">
        <f>IF(D23="Present",1,0)</f>
        <v/>
      </c>
    </row>
    <row r="24" ht="15.75" customHeight="1" s="11">
      <c r="A24" s="2" t="inlineStr">
        <is>
          <t>Attendee 23</t>
        </is>
      </c>
      <c r="B24" s="31" t="n">
        <v>45474</v>
      </c>
      <c r="C24" s="2" t="inlineStr">
        <is>
          <t>Yes</t>
        </is>
      </c>
      <c r="D24" s="0">
        <f>IF(C24="Yes","Present",IF(C24="No","Absent",""))</f>
        <v/>
      </c>
      <c r="E24" s="0">
        <f>IF(D24="Present",1,0)</f>
        <v/>
      </c>
    </row>
    <row r="25" ht="15.75" customHeight="1" s="11">
      <c r="A25" s="2" t="inlineStr">
        <is>
          <t>Attendee 24</t>
        </is>
      </c>
      <c r="B25" s="31" t="n">
        <v>45474</v>
      </c>
      <c r="C25" s="2" t="inlineStr">
        <is>
          <t>No</t>
        </is>
      </c>
      <c r="D25" s="0">
        <f>IF(C25="Yes","Present",IF(C25="No","Absent",""))</f>
        <v/>
      </c>
      <c r="E25" s="0">
        <f>IF(D25="Present",1,0)</f>
        <v/>
      </c>
    </row>
    <row r="26" ht="15.75" customHeight="1" s="11">
      <c r="A26" s="2" t="inlineStr">
        <is>
          <t>Attendee 25</t>
        </is>
      </c>
      <c r="B26" s="31" t="n">
        <v>45474</v>
      </c>
      <c r="C26" s="2" t="inlineStr">
        <is>
          <t>Yes</t>
        </is>
      </c>
      <c r="D26" s="0">
        <f>IF(C26="Yes","Present",IF(C26="No","Absent",""))</f>
        <v/>
      </c>
      <c r="E26" s="0">
        <f>IF(D26="Present",1,0)</f>
        <v/>
      </c>
    </row>
    <row r="27" ht="15.75" customHeight="1" s="11">
      <c r="A27" s="2" t="inlineStr">
        <is>
          <t>Attendee 26</t>
        </is>
      </c>
      <c r="B27" s="31" t="n">
        <v>45474</v>
      </c>
      <c r="C27" s="2" t="inlineStr">
        <is>
          <t>No</t>
        </is>
      </c>
      <c r="D27" s="0">
        <f>IF(C27="Yes","Present",IF(C27="No","Absent",""))</f>
        <v/>
      </c>
      <c r="E27" s="0">
        <f>IF(D27="Present",1,0)</f>
        <v/>
      </c>
    </row>
    <row r="28" ht="15.75" customHeight="1" s="11">
      <c r="A28" s="2" t="inlineStr">
        <is>
          <t>Attendee 27</t>
        </is>
      </c>
      <c r="B28" s="31" t="n">
        <v>45474</v>
      </c>
      <c r="C28" s="2" t="inlineStr">
        <is>
          <t>Yes</t>
        </is>
      </c>
      <c r="D28" s="0">
        <f>IF(C28="Yes","Present",IF(C28="No","Absent",""))</f>
        <v/>
      </c>
      <c r="E28" s="0">
        <f>IF(D28="Present",1,0)</f>
        <v/>
      </c>
    </row>
    <row r="29" ht="15.75" customHeight="1" s="11">
      <c r="A29" s="2" t="inlineStr">
        <is>
          <t>Attendee 28</t>
        </is>
      </c>
      <c r="B29" s="31" t="n">
        <v>45474</v>
      </c>
      <c r="C29" s="2" t="inlineStr">
        <is>
          <t>No</t>
        </is>
      </c>
      <c r="D29" s="0">
        <f>IF(C29="Yes","Present",IF(C29="No","Absent",""))</f>
        <v/>
      </c>
      <c r="E29" s="0">
        <f>IF(D29="Present",1,0)</f>
        <v/>
      </c>
    </row>
    <row r="30" ht="15.75" customHeight="1" s="11">
      <c r="A30" s="2" t="inlineStr">
        <is>
          <t>Attendee 29</t>
        </is>
      </c>
      <c r="B30" s="31" t="n">
        <v>45474</v>
      </c>
      <c r="C30" s="2" t="inlineStr">
        <is>
          <t>Yes</t>
        </is>
      </c>
      <c r="D30" s="0">
        <f>IF(C30="Yes","Present",IF(C30="No","Absent",""))</f>
        <v/>
      </c>
      <c r="E30" s="0">
        <f>IF(D30="Present",1,0)</f>
        <v/>
      </c>
    </row>
    <row r="31" ht="15.75" customHeight="1" s="11">
      <c r="A31" s="2" t="inlineStr">
        <is>
          <t>Attendee 30</t>
        </is>
      </c>
      <c r="B31" s="31" t="n">
        <v>45474</v>
      </c>
      <c r="C31" s="2" t="inlineStr">
        <is>
          <t>No</t>
        </is>
      </c>
      <c r="D31" s="0">
        <f>IF(C31="Yes","Present",IF(C31="No","Absent",""))</f>
        <v/>
      </c>
      <c r="E31" s="0">
        <f>IF(D31="Present",1,0)</f>
        <v/>
      </c>
    </row>
    <row r="32" ht="15.75" customHeight="1" s="11">
      <c r="A32" s="2" t="inlineStr">
        <is>
          <t>Attendee 31</t>
        </is>
      </c>
      <c r="B32" s="31" t="n">
        <v>45474</v>
      </c>
      <c r="C32" s="2" t="inlineStr">
        <is>
          <t>Yes</t>
        </is>
      </c>
      <c r="D32" s="0">
        <f>IF(C32="Yes","Present",IF(C32="No","Absent",""))</f>
        <v/>
      </c>
      <c r="E32" s="0">
        <f>IF(D32="Present",1,0)</f>
        <v/>
      </c>
    </row>
    <row r="33" ht="15.75" customHeight="1" s="11">
      <c r="A33" s="2" t="inlineStr">
        <is>
          <t>Attendee 32</t>
        </is>
      </c>
      <c r="B33" s="31" t="n">
        <v>45474</v>
      </c>
      <c r="C33" s="2" t="inlineStr">
        <is>
          <t>No</t>
        </is>
      </c>
      <c r="D33" s="0">
        <f>IF(C33="Yes","Present",IF(C33="No","Absent",""))</f>
        <v/>
      </c>
      <c r="E33" s="0">
        <f>IF(D33="Present",1,0)</f>
        <v/>
      </c>
    </row>
    <row r="34" ht="15.75" customHeight="1" s="11">
      <c r="A34" s="2" t="inlineStr">
        <is>
          <t>Attendee 33</t>
        </is>
      </c>
      <c r="B34" s="31" t="n">
        <v>45474</v>
      </c>
      <c r="C34" s="2" t="inlineStr">
        <is>
          <t>Yes</t>
        </is>
      </c>
      <c r="D34" s="0">
        <f>IF(C34="Yes","Present",IF(C34="No","Absent",""))</f>
        <v/>
      </c>
      <c r="E34" s="0">
        <f>IF(D34="Present",1,0)</f>
        <v/>
      </c>
    </row>
    <row r="35" ht="15.75" customHeight="1" s="11">
      <c r="A35" s="2" t="inlineStr">
        <is>
          <t>Attendee 34</t>
        </is>
      </c>
      <c r="B35" s="31" t="n">
        <v>45474</v>
      </c>
      <c r="C35" s="2" t="inlineStr">
        <is>
          <t>No</t>
        </is>
      </c>
      <c r="D35" s="0">
        <f>IF(C35="Yes","Present",IF(C35="No","Absent",""))</f>
        <v/>
      </c>
      <c r="E35" s="0">
        <f>IF(D35="Present",1,0)</f>
        <v/>
      </c>
    </row>
    <row r="36" ht="15.75" customHeight="1" s="11">
      <c r="A36" s="2" t="inlineStr">
        <is>
          <t>Attendee 35</t>
        </is>
      </c>
      <c r="B36" s="31" t="n">
        <v>45474</v>
      </c>
      <c r="C36" s="2" t="inlineStr">
        <is>
          <t>Yes</t>
        </is>
      </c>
      <c r="D36" s="0">
        <f>IF(C36="Yes","Present",IF(C36="No","Absent",""))</f>
        <v/>
      </c>
      <c r="E36" s="0">
        <f>IF(D36="Present",1,0)</f>
        <v/>
      </c>
    </row>
    <row r="37" ht="15.75" customHeight="1" s="11">
      <c r="A37" s="2" t="inlineStr">
        <is>
          <t>Attendee 36</t>
        </is>
      </c>
      <c r="B37" s="31" t="n">
        <v>45474</v>
      </c>
      <c r="C37" s="2" t="inlineStr">
        <is>
          <t>No</t>
        </is>
      </c>
      <c r="D37" s="0">
        <f>IF(C37="Yes","Present",IF(C37="No","Absent",""))</f>
        <v/>
      </c>
      <c r="E37" s="0">
        <f>IF(D37="Present",1,0)</f>
        <v/>
      </c>
    </row>
    <row r="38" ht="15.75" customHeight="1" s="11">
      <c r="A38" s="2" t="inlineStr">
        <is>
          <t>Attendee 37</t>
        </is>
      </c>
      <c r="B38" s="31" t="n">
        <v>45474</v>
      </c>
      <c r="C38" s="2" t="inlineStr">
        <is>
          <t>Yes</t>
        </is>
      </c>
      <c r="D38" s="0">
        <f>IF(C38="Yes","Present",IF(C38="No","Absent",""))</f>
        <v/>
      </c>
      <c r="E38" s="0">
        <f>IF(D38="Present",1,0)</f>
        <v/>
      </c>
    </row>
    <row r="39" ht="15.75" customHeight="1" s="11">
      <c r="A39" s="2" t="inlineStr">
        <is>
          <t>Attendee 38</t>
        </is>
      </c>
      <c r="B39" s="31" t="n">
        <v>45474</v>
      </c>
      <c r="C39" s="2" t="inlineStr">
        <is>
          <t>No</t>
        </is>
      </c>
      <c r="D39" s="0">
        <f>IF(C39="Yes","Present",IF(C39="No","Absent",""))</f>
        <v/>
      </c>
      <c r="E39" s="0">
        <f>IF(D39="Present",1,0)</f>
        <v/>
      </c>
    </row>
    <row r="40" ht="15.75" customHeight="1" s="11">
      <c r="A40" s="2" t="inlineStr">
        <is>
          <t>Attendee 39</t>
        </is>
      </c>
      <c r="B40" s="31" t="n">
        <v>45474</v>
      </c>
      <c r="C40" s="2" t="inlineStr">
        <is>
          <t>Yes</t>
        </is>
      </c>
      <c r="D40" s="0">
        <f>IF(C40="Yes","Present",IF(C40="No","Absent",""))</f>
        <v/>
      </c>
      <c r="E40" s="0">
        <f>IF(D40="Present",1,0)</f>
        <v/>
      </c>
    </row>
    <row r="41" ht="15.75" customHeight="1" s="11">
      <c r="A41" s="2" t="inlineStr">
        <is>
          <t>Attendee 40</t>
        </is>
      </c>
      <c r="B41" s="31" t="n">
        <v>45474</v>
      </c>
      <c r="C41" s="2" t="inlineStr">
        <is>
          <t>No</t>
        </is>
      </c>
      <c r="D41" s="0">
        <f>IF(C41="Yes","Present",IF(C41="No","Absent",""))</f>
        <v/>
      </c>
      <c r="E41" s="0">
        <f>IF(D41="Present",1,0)</f>
        <v/>
      </c>
    </row>
    <row r="42" ht="15.75" customHeight="1" s="11">
      <c r="A42" s="2" t="inlineStr">
        <is>
          <t>Attendee 41</t>
        </is>
      </c>
      <c r="B42" s="31" t="n">
        <v>45474</v>
      </c>
      <c r="C42" s="2" t="inlineStr">
        <is>
          <t>Yes</t>
        </is>
      </c>
      <c r="D42" s="0">
        <f>IF(C42="Yes","Present",IF(C42="No","Absent",""))</f>
        <v/>
      </c>
      <c r="E42" s="0">
        <f>IF(D42="Present",1,0)</f>
        <v/>
      </c>
    </row>
    <row r="43" ht="15.75" customHeight="1" s="11">
      <c r="A43" s="2" t="inlineStr">
        <is>
          <t>Attendee 42</t>
        </is>
      </c>
      <c r="B43" s="31" t="n">
        <v>45474</v>
      </c>
      <c r="C43" s="2" t="inlineStr">
        <is>
          <t>No</t>
        </is>
      </c>
      <c r="D43" s="0">
        <f>IF(C43="Yes","Present",IF(C43="No","Absent",""))</f>
        <v/>
      </c>
      <c r="E43" s="0">
        <f>IF(D43="Present",1,0)</f>
        <v/>
      </c>
    </row>
    <row r="44" ht="15.75" customHeight="1" s="11">
      <c r="A44" s="2" t="inlineStr">
        <is>
          <t>Attendee 43</t>
        </is>
      </c>
      <c r="B44" s="31" t="n">
        <v>45474</v>
      </c>
      <c r="C44" s="2" t="inlineStr">
        <is>
          <t>Yes</t>
        </is>
      </c>
      <c r="D44" s="0">
        <f>IF(C44="Yes","Present",IF(C44="No","Absent",""))</f>
        <v/>
      </c>
      <c r="E44" s="0">
        <f>IF(D44="Present",1,0)</f>
        <v/>
      </c>
    </row>
    <row r="45" ht="15.75" customHeight="1" s="11">
      <c r="A45" s="2" t="inlineStr">
        <is>
          <t>Attendee 44</t>
        </is>
      </c>
      <c r="B45" s="31" t="n">
        <v>45474</v>
      </c>
      <c r="C45" s="2" t="inlineStr">
        <is>
          <t>No</t>
        </is>
      </c>
      <c r="D45" s="0">
        <f>IF(C45="Yes","Present",IF(C45="No","Absent",""))</f>
        <v/>
      </c>
      <c r="E45" s="0">
        <f>IF(D45="Present",1,0)</f>
        <v/>
      </c>
    </row>
    <row r="46" ht="15.75" customHeight="1" s="11">
      <c r="A46" s="2" t="inlineStr">
        <is>
          <t>Attendee 45</t>
        </is>
      </c>
      <c r="B46" s="31" t="n">
        <v>45474</v>
      </c>
      <c r="C46" s="2" t="inlineStr">
        <is>
          <t>Yes</t>
        </is>
      </c>
      <c r="D46" s="0">
        <f>IF(C46="Yes","Present",IF(C46="No","Absent",""))</f>
        <v/>
      </c>
      <c r="E46" s="0">
        <f>IF(D46="Present",1,0)</f>
        <v/>
      </c>
    </row>
    <row r="47" ht="15.75" customHeight="1" s="11">
      <c r="A47" s="2" t="inlineStr">
        <is>
          <t>Attendee 46</t>
        </is>
      </c>
      <c r="B47" s="31" t="n">
        <v>45474</v>
      </c>
      <c r="C47" s="2" t="inlineStr">
        <is>
          <t>No</t>
        </is>
      </c>
      <c r="D47" s="0">
        <f>IF(C47="Yes","Present",IF(C47="No","Absent",""))</f>
        <v/>
      </c>
      <c r="E47" s="0">
        <f>IF(D47="Present",1,0)</f>
        <v/>
      </c>
    </row>
    <row r="48" ht="15.75" customHeight="1" s="11">
      <c r="A48" s="2" t="inlineStr">
        <is>
          <t>Attendee 47</t>
        </is>
      </c>
      <c r="B48" s="31" t="n">
        <v>45474</v>
      </c>
      <c r="C48" s="2" t="inlineStr">
        <is>
          <t>Yes</t>
        </is>
      </c>
      <c r="D48" s="0">
        <f>IF(C48="Yes","Present",IF(C48="No","Absent",""))</f>
        <v/>
      </c>
      <c r="E48" s="0">
        <f>IF(D48="Present",1,0)</f>
        <v/>
      </c>
    </row>
    <row r="49" ht="15.75" customHeight="1" s="11">
      <c r="A49" s="2" t="inlineStr">
        <is>
          <t>Attendee 48</t>
        </is>
      </c>
      <c r="B49" s="31" t="n">
        <v>45474</v>
      </c>
      <c r="C49" s="2" t="inlineStr">
        <is>
          <t>No</t>
        </is>
      </c>
      <c r="D49" s="0">
        <f>IF(C49="Yes","Present",IF(C49="No","Absent",""))</f>
        <v/>
      </c>
      <c r="E49" s="0">
        <f>IF(D49="Present",1,0)</f>
        <v/>
      </c>
    </row>
    <row r="50" ht="15.75" customHeight="1" s="11">
      <c r="A50" s="2" t="inlineStr">
        <is>
          <t>Attendee 49</t>
        </is>
      </c>
      <c r="B50" s="31" t="n">
        <v>45474</v>
      </c>
      <c r="C50" s="2" t="inlineStr">
        <is>
          <t>Yes</t>
        </is>
      </c>
      <c r="D50" s="0">
        <f>IF(C50="Yes","Present",IF(C50="No","Absent",""))</f>
        <v/>
      </c>
      <c r="E50" s="0">
        <f>IF(D50="Present",1,0)</f>
        <v/>
      </c>
    </row>
    <row r="51" ht="15.75" customHeight="1" s="11">
      <c r="A51" s="2" t="inlineStr">
        <is>
          <t>Attendee 50</t>
        </is>
      </c>
      <c r="B51" s="31" t="n">
        <v>45474</v>
      </c>
      <c r="C51" s="2" t="inlineStr">
        <is>
          <t>No</t>
        </is>
      </c>
      <c r="D51" s="0">
        <f>IF(C51="Yes","Present",IF(C51="No","Absent",""))</f>
        <v/>
      </c>
      <c r="E51" s="0">
        <f>IF(D51="Present",1,0)</f>
        <v/>
      </c>
    </row>
    <row r="52" ht="15.75" customHeight="1" s="11">
      <c r="A52" s="2" t="inlineStr">
        <is>
          <t>Attendee 1</t>
        </is>
      </c>
      <c r="B52" s="31" t="n">
        <v>45475</v>
      </c>
      <c r="C52" s="10" t="inlineStr">
        <is>
          <t>No</t>
        </is>
      </c>
      <c r="D52" s="0">
        <f>IF(C52="Yes","Present",IF(C52="No","Absent",""))</f>
        <v/>
      </c>
      <c r="E52" s="0">
        <f>IF(D52="Present",1,0)</f>
        <v/>
      </c>
    </row>
    <row r="53" ht="15.75" customHeight="1" s="11">
      <c r="A53" s="2" t="inlineStr">
        <is>
          <t>Attendee 2</t>
        </is>
      </c>
      <c r="B53" s="31" t="n">
        <v>45475</v>
      </c>
      <c r="C53" s="10" t="inlineStr">
        <is>
          <t>Yes</t>
        </is>
      </c>
      <c r="D53" s="0">
        <f>IF(C53="Yes","Present",IF(C53="No","Absent",""))</f>
        <v/>
      </c>
      <c r="E53" s="0">
        <f>IF(D53="Present",1,0)</f>
        <v/>
      </c>
    </row>
    <row r="54" ht="15.75" customHeight="1" s="11">
      <c r="A54" s="2" t="inlineStr">
        <is>
          <t>Attendee 3</t>
        </is>
      </c>
      <c r="B54" s="31" t="n">
        <v>45475</v>
      </c>
      <c r="C54" s="10" t="inlineStr">
        <is>
          <t>No</t>
        </is>
      </c>
      <c r="D54" s="0">
        <f>IF(C54="Yes","Present",IF(C54="No","Absent",""))</f>
        <v/>
      </c>
      <c r="E54" s="0">
        <f>IF(D54="Present",1,0)</f>
        <v/>
      </c>
    </row>
    <row r="55" ht="15.75" customHeight="1" s="11">
      <c r="A55" s="2" t="inlineStr">
        <is>
          <t>Attendee 4</t>
        </is>
      </c>
      <c r="B55" s="31" t="n">
        <v>45475</v>
      </c>
      <c r="C55" s="10" t="inlineStr">
        <is>
          <t>No</t>
        </is>
      </c>
      <c r="D55" s="0">
        <f>IF(C55="Yes","Present",IF(C55="No","Absent",""))</f>
        <v/>
      </c>
      <c r="E55" s="0">
        <f>IF(D55="Present",1,0)</f>
        <v/>
      </c>
    </row>
    <row r="56" ht="15.75" customHeight="1" s="11">
      <c r="A56" s="2" t="inlineStr">
        <is>
          <t>Attendee 5</t>
        </is>
      </c>
      <c r="B56" s="31" t="n">
        <v>45475</v>
      </c>
      <c r="C56" s="10" t="inlineStr">
        <is>
          <t>No</t>
        </is>
      </c>
      <c r="D56" s="0">
        <f>IF(C56="Yes","Present",IF(C56="No","Absent",""))</f>
        <v/>
      </c>
      <c r="E56" s="0">
        <f>IF(D56="Present",1,0)</f>
        <v/>
      </c>
    </row>
    <row r="57" ht="15.75" customHeight="1" s="11">
      <c r="A57" s="2" t="inlineStr">
        <is>
          <t>Attendee 6</t>
        </is>
      </c>
      <c r="B57" s="31" t="n">
        <v>45475</v>
      </c>
      <c r="C57" s="10" t="inlineStr">
        <is>
          <t>No</t>
        </is>
      </c>
      <c r="D57" s="0">
        <f>IF(C57="Yes","Present",IF(C57="No","Absent",""))</f>
        <v/>
      </c>
      <c r="E57" s="0">
        <f>IF(D57="Present",1,0)</f>
        <v/>
      </c>
    </row>
    <row r="58" ht="15.75" customHeight="1" s="11">
      <c r="A58" s="2" t="inlineStr">
        <is>
          <t>Attendee 7</t>
        </is>
      </c>
      <c r="B58" s="31" t="n">
        <v>45475</v>
      </c>
      <c r="C58" s="10" t="inlineStr">
        <is>
          <t>No</t>
        </is>
      </c>
      <c r="D58" s="0">
        <f>IF(C58="Yes","Present",IF(C58="No","Absent",""))</f>
        <v/>
      </c>
      <c r="E58" s="0">
        <f>IF(D58="Present",1,0)</f>
        <v/>
      </c>
    </row>
    <row r="59" ht="15.75" customHeight="1" s="11">
      <c r="A59" s="2" t="inlineStr">
        <is>
          <t>Attendee 8</t>
        </is>
      </c>
      <c r="B59" s="31" t="n">
        <v>45475</v>
      </c>
      <c r="C59" s="10" t="inlineStr">
        <is>
          <t>Yes</t>
        </is>
      </c>
      <c r="D59" s="0">
        <f>IF(C59="Yes","Present",IF(C59="No","Absent",""))</f>
        <v/>
      </c>
      <c r="E59" s="0">
        <f>IF(D59="Present",1,0)</f>
        <v/>
      </c>
    </row>
    <row r="60" ht="15.75" customHeight="1" s="11">
      <c r="A60" s="2" t="inlineStr">
        <is>
          <t>Attendee 9</t>
        </is>
      </c>
      <c r="B60" s="31" t="n">
        <v>45475</v>
      </c>
      <c r="C60" s="10" t="inlineStr">
        <is>
          <t>Yes</t>
        </is>
      </c>
      <c r="D60" s="0">
        <f>IF(C60="Yes","Present",IF(C60="No","Absent",""))</f>
        <v/>
      </c>
      <c r="E60" s="0">
        <f>IF(D60="Present",1,0)</f>
        <v/>
      </c>
    </row>
    <row r="61" ht="15.75" customHeight="1" s="11">
      <c r="A61" s="2" t="inlineStr">
        <is>
          <t>Attendee 10</t>
        </is>
      </c>
      <c r="B61" s="31" t="n">
        <v>45475</v>
      </c>
      <c r="C61" s="10" t="inlineStr">
        <is>
          <t>Yes</t>
        </is>
      </c>
      <c r="D61" s="0">
        <f>IF(C61="Yes","Present",IF(C61="No","Absent",""))</f>
        <v/>
      </c>
      <c r="E61" s="0">
        <f>IF(D61="Present",1,0)</f>
        <v/>
      </c>
    </row>
    <row r="62" ht="15.75" customHeight="1" s="11">
      <c r="A62" s="2" t="inlineStr">
        <is>
          <t>Attendee 11</t>
        </is>
      </c>
      <c r="B62" s="31" t="n">
        <v>45475</v>
      </c>
      <c r="C62" s="10" t="inlineStr">
        <is>
          <t>No</t>
        </is>
      </c>
      <c r="D62" s="0">
        <f>IF(C62="Yes","Present",IF(C62="No","Absent",""))</f>
        <v/>
      </c>
      <c r="E62" s="0">
        <f>IF(D62="Present",1,0)</f>
        <v/>
      </c>
    </row>
    <row r="63" ht="15.75" customHeight="1" s="11">
      <c r="A63" s="2" t="inlineStr">
        <is>
          <t>Attendee 12</t>
        </is>
      </c>
      <c r="B63" s="31" t="n">
        <v>45475</v>
      </c>
      <c r="C63" s="10" t="inlineStr">
        <is>
          <t>No</t>
        </is>
      </c>
      <c r="D63" s="0">
        <f>IF(C63="Yes","Present",IF(C63="No","Absent",""))</f>
        <v/>
      </c>
      <c r="E63" s="0">
        <f>IF(D63="Present",1,0)</f>
        <v/>
      </c>
    </row>
    <row r="64" ht="15.75" customHeight="1" s="11">
      <c r="A64" s="2" t="inlineStr">
        <is>
          <t>Attendee 13</t>
        </is>
      </c>
      <c r="B64" s="31" t="n">
        <v>45475</v>
      </c>
      <c r="C64" s="10" t="inlineStr">
        <is>
          <t>Yes</t>
        </is>
      </c>
      <c r="D64" s="0">
        <f>IF(C64="Yes","Present",IF(C64="No","Absent",""))</f>
        <v/>
      </c>
      <c r="E64" s="0">
        <f>IF(D64="Present",1,0)</f>
        <v/>
      </c>
    </row>
    <row r="65" ht="15.75" customHeight="1" s="11">
      <c r="A65" s="2" t="inlineStr">
        <is>
          <t>Attendee 14</t>
        </is>
      </c>
      <c r="B65" s="31" t="n">
        <v>45475</v>
      </c>
      <c r="C65" s="10" t="inlineStr">
        <is>
          <t>Yes</t>
        </is>
      </c>
      <c r="D65" s="0">
        <f>IF(C65="Yes","Present",IF(C65="No","Absent",""))</f>
        <v/>
      </c>
      <c r="E65" s="0">
        <f>IF(D65="Present",1,0)</f>
        <v/>
      </c>
    </row>
    <row r="66" ht="15.75" customHeight="1" s="11">
      <c r="A66" s="2" t="inlineStr">
        <is>
          <t>Attendee 15</t>
        </is>
      </c>
      <c r="B66" s="31" t="n">
        <v>45475</v>
      </c>
      <c r="C66" s="10" t="inlineStr">
        <is>
          <t>Yes</t>
        </is>
      </c>
      <c r="D66" s="0">
        <f>IF(C66="Yes","Present",IF(C66="No","Absent",""))</f>
        <v/>
      </c>
      <c r="E66" s="0">
        <f>IF(D66="Present",1,0)</f>
        <v/>
      </c>
    </row>
    <row r="67" ht="15.75" customHeight="1" s="11">
      <c r="A67" s="2" t="inlineStr">
        <is>
          <t>Attendee 16</t>
        </is>
      </c>
      <c r="B67" s="31" t="n">
        <v>45475</v>
      </c>
      <c r="C67" s="10" t="inlineStr">
        <is>
          <t>No</t>
        </is>
      </c>
      <c r="D67" s="0">
        <f>IF(C67="Yes","Present",IF(C67="No","Absent",""))</f>
        <v/>
      </c>
      <c r="E67" s="0">
        <f>IF(D67="Present",1,0)</f>
        <v/>
      </c>
    </row>
    <row r="68" ht="15.75" customHeight="1" s="11">
      <c r="A68" s="2" t="inlineStr">
        <is>
          <t>Attendee 17</t>
        </is>
      </c>
      <c r="B68" s="31" t="n">
        <v>45475</v>
      </c>
      <c r="C68" s="10" t="inlineStr">
        <is>
          <t>No</t>
        </is>
      </c>
      <c r="D68" s="0">
        <f>IF(C68="Yes","Present",IF(C68="No","Absent",""))</f>
        <v/>
      </c>
      <c r="E68" s="0">
        <f>IF(D68="Present",1,0)</f>
        <v/>
      </c>
    </row>
    <row r="69" ht="15.75" customHeight="1" s="11">
      <c r="A69" s="2" t="inlineStr">
        <is>
          <t>Attendee 18</t>
        </is>
      </c>
      <c r="B69" s="31" t="n">
        <v>45475</v>
      </c>
      <c r="C69" s="10" t="inlineStr">
        <is>
          <t>Yes</t>
        </is>
      </c>
      <c r="D69" s="0">
        <f>IF(C69="Yes","Present",IF(C69="No","Absent",""))</f>
        <v/>
      </c>
      <c r="E69" s="0">
        <f>IF(D69="Present",1,0)</f>
        <v/>
      </c>
    </row>
    <row r="70" ht="15.75" customHeight="1" s="11">
      <c r="A70" s="2" t="inlineStr">
        <is>
          <t>Attendee 19</t>
        </is>
      </c>
      <c r="B70" s="31" t="n">
        <v>45475</v>
      </c>
      <c r="C70" s="10" t="inlineStr">
        <is>
          <t>Yes</t>
        </is>
      </c>
      <c r="D70" s="0">
        <f>IF(C70="Yes","Present",IF(C70="No","Absent",""))</f>
        <v/>
      </c>
      <c r="E70" s="0">
        <f>IF(D70="Present",1,0)</f>
        <v/>
      </c>
    </row>
    <row r="71" ht="15.75" customHeight="1" s="11">
      <c r="A71" s="2" t="inlineStr">
        <is>
          <t>Attendee 20</t>
        </is>
      </c>
      <c r="B71" s="31" t="n">
        <v>45475</v>
      </c>
      <c r="C71" s="10" t="inlineStr">
        <is>
          <t>No</t>
        </is>
      </c>
      <c r="D71" s="0">
        <f>IF(C71="Yes","Present",IF(C71="No","Absent",""))</f>
        <v/>
      </c>
      <c r="E71" s="0">
        <f>IF(D71="Present",1,0)</f>
        <v/>
      </c>
    </row>
    <row r="72" ht="15.75" customHeight="1" s="11">
      <c r="A72" s="2" t="inlineStr">
        <is>
          <t>Attendee 21</t>
        </is>
      </c>
      <c r="B72" s="31" t="n">
        <v>45475</v>
      </c>
      <c r="C72" s="10" t="inlineStr">
        <is>
          <t>No</t>
        </is>
      </c>
      <c r="D72" s="0">
        <f>IF(C72="Yes","Present",IF(C72="No","Absent",""))</f>
        <v/>
      </c>
      <c r="E72" s="0">
        <f>IF(D72="Present",1,0)</f>
        <v/>
      </c>
    </row>
    <row r="73" ht="15.75" customHeight="1" s="11">
      <c r="A73" s="2" t="inlineStr">
        <is>
          <t>Attendee 22</t>
        </is>
      </c>
      <c r="B73" s="31" t="n">
        <v>45475</v>
      </c>
      <c r="C73" s="10" t="inlineStr">
        <is>
          <t>Yes</t>
        </is>
      </c>
      <c r="D73" s="0">
        <f>IF(C73="Yes","Present",IF(C73="No","Absent",""))</f>
        <v/>
      </c>
      <c r="E73" s="0">
        <f>IF(D73="Present",1,0)</f>
        <v/>
      </c>
    </row>
    <row r="74" ht="15.75" customHeight="1" s="11">
      <c r="A74" s="2" t="inlineStr">
        <is>
          <t>Attendee 23</t>
        </is>
      </c>
      <c r="B74" s="31" t="n">
        <v>45475</v>
      </c>
      <c r="C74" s="10" t="inlineStr">
        <is>
          <t>Yes</t>
        </is>
      </c>
      <c r="D74" s="0">
        <f>IF(C74="Yes","Present",IF(C74="No","Absent",""))</f>
        <v/>
      </c>
      <c r="E74" s="0">
        <f>IF(D74="Present",1,0)</f>
        <v/>
      </c>
    </row>
    <row r="75" ht="15.75" customHeight="1" s="11">
      <c r="A75" s="2" t="inlineStr">
        <is>
          <t>Attendee 24</t>
        </is>
      </c>
      <c r="B75" s="31" t="n">
        <v>45475</v>
      </c>
      <c r="C75" s="10" t="inlineStr">
        <is>
          <t>Yes</t>
        </is>
      </c>
      <c r="D75" s="0">
        <f>IF(C75="Yes","Present",IF(C75="No","Absent",""))</f>
        <v/>
      </c>
      <c r="E75" s="0">
        <f>IF(D75="Present",1,0)</f>
        <v/>
      </c>
    </row>
    <row r="76" ht="15.75" customHeight="1" s="11">
      <c r="A76" s="2" t="inlineStr">
        <is>
          <t>Attendee 25</t>
        </is>
      </c>
      <c r="B76" s="31" t="n">
        <v>45475</v>
      </c>
      <c r="C76" s="10" t="inlineStr">
        <is>
          <t>No</t>
        </is>
      </c>
      <c r="D76" s="0">
        <f>IF(C76="Yes","Present",IF(C76="No","Absent",""))</f>
        <v/>
      </c>
      <c r="E76" s="0">
        <f>IF(D76="Present",1,0)</f>
        <v/>
      </c>
    </row>
    <row r="77" ht="15.75" customHeight="1" s="11">
      <c r="A77" s="2" t="inlineStr">
        <is>
          <t>Attendee 26</t>
        </is>
      </c>
      <c r="B77" s="31" t="n">
        <v>45475</v>
      </c>
      <c r="C77" s="10" t="inlineStr">
        <is>
          <t>Yes</t>
        </is>
      </c>
      <c r="D77" s="0">
        <f>IF(C77="Yes","Present",IF(C77="No","Absent",""))</f>
        <v/>
      </c>
      <c r="E77" s="0">
        <f>IF(D77="Present",1,0)</f>
        <v/>
      </c>
    </row>
    <row r="78" ht="15.75" customHeight="1" s="11">
      <c r="A78" s="2" t="inlineStr">
        <is>
          <t>Attendee 27</t>
        </is>
      </c>
      <c r="B78" s="31" t="n">
        <v>45475</v>
      </c>
      <c r="C78" s="10" t="inlineStr">
        <is>
          <t>Yes</t>
        </is>
      </c>
      <c r="D78" s="0">
        <f>IF(C78="Yes","Present",IF(C78="No","Absent",""))</f>
        <v/>
      </c>
      <c r="E78" s="0">
        <f>IF(D78="Present",1,0)</f>
        <v/>
      </c>
    </row>
    <row r="79" ht="15.75" customHeight="1" s="11">
      <c r="A79" s="2" t="inlineStr">
        <is>
          <t>Attendee 28</t>
        </is>
      </c>
      <c r="B79" s="31" t="n">
        <v>45475</v>
      </c>
      <c r="C79" s="10" t="inlineStr">
        <is>
          <t>No</t>
        </is>
      </c>
      <c r="D79" s="0">
        <f>IF(C79="Yes","Present",IF(C79="No","Absent",""))</f>
        <v/>
      </c>
      <c r="E79" s="0">
        <f>IF(D79="Present",1,0)</f>
        <v/>
      </c>
    </row>
    <row r="80" ht="15.75" customHeight="1" s="11">
      <c r="A80" s="2" t="inlineStr">
        <is>
          <t>Attendee 29</t>
        </is>
      </c>
      <c r="B80" s="31" t="n">
        <v>45475</v>
      </c>
      <c r="C80" s="10" t="inlineStr">
        <is>
          <t>No</t>
        </is>
      </c>
      <c r="D80" s="0">
        <f>IF(C80="Yes","Present",IF(C80="No","Absent",""))</f>
        <v/>
      </c>
      <c r="E80" s="0">
        <f>IF(D80="Present",1,0)</f>
        <v/>
      </c>
    </row>
    <row r="81" ht="15.75" customHeight="1" s="11">
      <c r="A81" s="2" t="inlineStr">
        <is>
          <t>Attendee 30</t>
        </is>
      </c>
      <c r="B81" s="31" t="n">
        <v>45475</v>
      </c>
      <c r="C81" s="10" t="inlineStr">
        <is>
          <t>Yes</t>
        </is>
      </c>
      <c r="D81" s="0">
        <f>IF(C81="Yes","Present",IF(C81="No","Absent",""))</f>
        <v/>
      </c>
      <c r="E81" s="0">
        <f>IF(D81="Present",1,0)</f>
        <v/>
      </c>
    </row>
    <row r="82" ht="15.75" customHeight="1" s="11">
      <c r="A82" s="2" t="inlineStr">
        <is>
          <t>Attendee 31</t>
        </is>
      </c>
      <c r="B82" s="31" t="n">
        <v>45475</v>
      </c>
      <c r="C82" s="10" t="inlineStr">
        <is>
          <t>No</t>
        </is>
      </c>
      <c r="D82" s="0">
        <f>IF(C82="Yes","Present",IF(C82="No","Absent",""))</f>
        <v/>
      </c>
      <c r="E82" s="0">
        <f>IF(D82="Present",1,0)</f>
        <v/>
      </c>
    </row>
    <row r="83" ht="15.75" customHeight="1" s="11">
      <c r="A83" s="2" t="inlineStr">
        <is>
          <t>Attendee 32</t>
        </is>
      </c>
      <c r="B83" s="31" t="n">
        <v>45475</v>
      </c>
      <c r="C83" s="10" t="inlineStr">
        <is>
          <t>No</t>
        </is>
      </c>
      <c r="D83" s="0">
        <f>IF(C83="Yes","Present",IF(C83="No","Absent",""))</f>
        <v/>
      </c>
      <c r="E83" s="0">
        <f>IF(D83="Present",1,0)</f>
        <v/>
      </c>
    </row>
    <row r="84" ht="15.75" customHeight="1" s="11">
      <c r="A84" s="2" t="inlineStr">
        <is>
          <t>Attendee 33</t>
        </is>
      </c>
      <c r="B84" s="31" t="n">
        <v>45475</v>
      </c>
      <c r="C84" s="10" t="inlineStr">
        <is>
          <t>Yes</t>
        </is>
      </c>
      <c r="D84" s="0">
        <f>IF(C84="Yes","Present",IF(C84="No","Absent",""))</f>
        <v/>
      </c>
      <c r="E84" s="0">
        <f>IF(D84="Present",1,0)</f>
        <v/>
      </c>
    </row>
    <row r="85" ht="15.75" customHeight="1" s="11">
      <c r="A85" s="2" t="inlineStr">
        <is>
          <t>Attendee 34</t>
        </is>
      </c>
      <c r="B85" s="31" t="n">
        <v>45475</v>
      </c>
      <c r="C85" s="10" t="inlineStr">
        <is>
          <t>No</t>
        </is>
      </c>
      <c r="D85" s="0">
        <f>IF(C85="Yes","Present",IF(C85="No","Absent",""))</f>
        <v/>
      </c>
      <c r="E85" s="0">
        <f>IF(D85="Present",1,0)</f>
        <v/>
      </c>
    </row>
    <row r="86" ht="15.75" customHeight="1" s="11">
      <c r="A86" s="2" t="inlineStr">
        <is>
          <t>Attendee 35</t>
        </is>
      </c>
      <c r="B86" s="31" t="n">
        <v>45475</v>
      </c>
      <c r="C86" s="10" t="inlineStr">
        <is>
          <t>Yes</t>
        </is>
      </c>
      <c r="D86" s="0">
        <f>IF(C86="Yes","Present",IF(C86="No","Absent",""))</f>
        <v/>
      </c>
      <c r="E86" s="0">
        <f>IF(D86="Present",1,0)</f>
        <v/>
      </c>
    </row>
    <row r="87" ht="15.75" customHeight="1" s="11">
      <c r="A87" s="2" t="inlineStr">
        <is>
          <t>Attendee 36</t>
        </is>
      </c>
      <c r="B87" s="31" t="n">
        <v>45475</v>
      </c>
      <c r="C87" s="10" t="inlineStr">
        <is>
          <t>Yes</t>
        </is>
      </c>
      <c r="D87" s="0">
        <f>IF(C87="Yes","Present",IF(C87="No","Absent",""))</f>
        <v/>
      </c>
      <c r="E87" s="0">
        <f>IF(D87="Present",1,0)</f>
        <v/>
      </c>
    </row>
    <row r="88" ht="15.75" customHeight="1" s="11">
      <c r="A88" s="2" t="inlineStr">
        <is>
          <t>Attendee 37</t>
        </is>
      </c>
      <c r="B88" s="31" t="n">
        <v>45475</v>
      </c>
      <c r="C88" s="10" t="inlineStr">
        <is>
          <t>Yes</t>
        </is>
      </c>
      <c r="D88" s="0">
        <f>IF(C88="Yes","Present",IF(C88="No","Absent",""))</f>
        <v/>
      </c>
      <c r="E88" s="0">
        <f>IF(D88="Present",1,0)</f>
        <v/>
      </c>
    </row>
    <row r="89" ht="15.75" customHeight="1" s="11">
      <c r="A89" s="2" t="inlineStr">
        <is>
          <t>Attendee 38</t>
        </is>
      </c>
      <c r="B89" s="31" t="n">
        <v>45475</v>
      </c>
      <c r="C89" s="10" t="inlineStr">
        <is>
          <t>Yes</t>
        </is>
      </c>
      <c r="D89" s="0">
        <f>IF(C89="Yes","Present",IF(C89="No","Absent",""))</f>
        <v/>
      </c>
      <c r="E89" s="0">
        <f>IF(D89="Present",1,0)</f>
        <v/>
      </c>
    </row>
    <row r="90" ht="15.75" customHeight="1" s="11">
      <c r="A90" s="2" t="inlineStr">
        <is>
          <t>Attendee 39</t>
        </is>
      </c>
      <c r="B90" s="31" t="n">
        <v>45475</v>
      </c>
      <c r="C90" s="10" t="inlineStr">
        <is>
          <t>Yes</t>
        </is>
      </c>
      <c r="D90" s="0">
        <f>IF(C90="Yes","Present",IF(C90="No","Absent",""))</f>
        <v/>
      </c>
      <c r="E90" s="0">
        <f>IF(D90="Present",1,0)</f>
        <v/>
      </c>
    </row>
    <row r="91" ht="15.75" customHeight="1" s="11">
      <c r="A91" s="2" t="inlineStr">
        <is>
          <t>Attendee 40</t>
        </is>
      </c>
      <c r="B91" s="31" t="n">
        <v>45475</v>
      </c>
      <c r="C91" s="10" t="inlineStr">
        <is>
          <t>No</t>
        </is>
      </c>
      <c r="D91" s="0">
        <f>IF(C91="Yes","Present",IF(C91="No","Absent",""))</f>
        <v/>
      </c>
      <c r="E91" s="0">
        <f>IF(D91="Present",1,0)</f>
        <v/>
      </c>
    </row>
    <row r="92" ht="15.75" customHeight="1" s="11">
      <c r="A92" s="2" t="inlineStr">
        <is>
          <t>Attendee 41</t>
        </is>
      </c>
      <c r="B92" s="31" t="n">
        <v>45475</v>
      </c>
      <c r="C92" s="10" t="inlineStr">
        <is>
          <t>No</t>
        </is>
      </c>
      <c r="D92" s="0">
        <f>IF(C92="Yes","Present",IF(C92="No","Absent",""))</f>
        <v/>
      </c>
      <c r="E92" s="0">
        <f>IF(D92="Present",1,0)</f>
        <v/>
      </c>
    </row>
    <row r="93" ht="15.75" customHeight="1" s="11">
      <c r="A93" s="2" t="inlineStr">
        <is>
          <t>Attendee 42</t>
        </is>
      </c>
      <c r="B93" s="31" t="n">
        <v>45475</v>
      </c>
      <c r="C93" s="10" t="inlineStr">
        <is>
          <t>No</t>
        </is>
      </c>
      <c r="D93" s="0">
        <f>IF(C93="Yes","Present",IF(C93="No","Absent",""))</f>
        <v/>
      </c>
      <c r="E93" s="0">
        <f>IF(D93="Present",1,0)</f>
        <v/>
      </c>
    </row>
    <row r="94" ht="15.75" customHeight="1" s="11">
      <c r="A94" s="2" t="inlineStr">
        <is>
          <t>Attendee 43</t>
        </is>
      </c>
      <c r="B94" s="31" t="n">
        <v>45475</v>
      </c>
      <c r="C94" s="10" t="inlineStr">
        <is>
          <t>Yes</t>
        </is>
      </c>
      <c r="D94" s="0">
        <f>IF(C94="Yes","Present",IF(C94="No","Absent",""))</f>
        <v/>
      </c>
      <c r="E94" s="0">
        <f>IF(D94="Present",1,0)</f>
        <v/>
      </c>
    </row>
    <row r="95" ht="15.75" customHeight="1" s="11">
      <c r="A95" s="2" t="inlineStr">
        <is>
          <t>Attendee 44</t>
        </is>
      </c>
      <c r="B95" s="31" t="n">
        <v>45475</v>
      </c>
      <c r="C95" s="10" t="inlineStr">
        <is>
          <t>Yes</t>
        </is>
      </c>
      <c r="D95" s="0">
        <f>IF(C95="Yes","Present",IF(C95="No","Absent",""))</f>
        <v/>
      </c>
      <c r="E95" s="0">
        <f>IF(D95="Present",1,0)</f>
        <v/>
      </c>
    </row>
    <row r="96" ht="15.75" customHeight="1" s="11">
      <c r="A96" s="2" t="inlineStr">
        <is>
          <t>Attendee 45</t>
        </is>
      </c>
      <c r="B96" s="31" t="n">
        <v>45475</v>
      </c>
      <c r="C96" s="10" t="inlineStr">
        <is>
          <t>No</t>
        </is>
      </c>
      <c r="D96" s="0">
        <f>IF(C96="Yes","Present",IF(C96="No","Absent",""))</f>
        <v/>
      </c>
      <c r="E96" s="0">
        <f>IF(D96="Present",1,0)</f>
        <v/>
      </c>
    </row>
    <row r="97" ht="15.75" customHeight="1" s="11">
      <c r="A97" s="2" t="inlineStr">
        <is>
          <t>Attendee 46</t>
        </is>
      </c>
      <c r="B97" s="31" t="n">
        <v>45475</v>
      </c>
      <c r="C97" s="10" t="inlineStr">
        <is>
          <t>Yes</t>
        </is>
      </c>
      <c r="D97" s="0">
        <f>IF(C97="Yes","Present",IF(C97="No","Absent",""))</f>
        <v/>
      </c>
      <c r="E97" s="0">
        <f>IF(D97="Present",1,0)</f>
        <v/>
      </c>
    </row>
    <row r="98" ht="15.75" customHeight="1" s="11">
      <c r="A98" s="2" t="inlineStr">
        <is>
          <t>Attendee 47</t>
        </is>
      </c>
      <c r="B98" s="31" t="n">
        <v>45475</v>
      </c>
      <c r="C98" s="10" t="inlineStr">
        <is>
          <t>Yes</t>
        </is>
      </c>
      <c r="D98" s="0">
        <f>IF(C98="Yes","Present",IF(C98="No","Absent",""))</f>
        <v/>
      </c>
      <c r="E98" s="0">
        <f>IF(D98="Present",1,0)</f>
        <v/>
      </c>
    </row>
    <row r="99" ht="15.75" customHeight="1" s="11">
      <c r="A99" s="2" t="inlineStr">
        <is>
          <t>Attendee 48</t>
        </is>
      </c>
      <c r="B99" s="31" t="n">
        <v>45475</v>
      </c>
      <c r="C99" s="10" t="inlineStr">
        <is>
          <t>No</t>
        </is>
      </c>
      <c r="D99" s="0">
        <f>IF(C99="Yes","Present",IF(C99="No","Absent",""))</f>
        <v/>
      </c>
      <c r="E99" s="0">
        <f>IF(D99="Present",1,0)</f>
        <v/>
      </c>
    </row>
    <row r="100" ht="15.75" customHeight="1" s="11">
      <c r="A100" s="2" t="inlineStr">
        <is>
          <t>Attendee 49</t>
        </is>
      </c>
      <c r="B100" s="31" t="n">
        <v>45475</v>
      </c>
      <c r="C100" s="10" t="inlineStr">
        <is>
          <t>No</t>
        </is>
      </c>
      <c r="D100" s="0">
        <f>IF(C100="Yes","Present",IF(C100="No","Absent",""))</f>
        <v/>
      </c>
      <c r="E100" s="0">
        <f>IF(D100="Present",1,0)</f>
        <v/>
      </c>
    </row>
    <row r="101" ht="15.75" customHeight="1" s="11">
      <c r="A101" s="2" t="inlineStr">
        <is>
          <t>Attendee 50</t>
        </is>
      </c>
      <c r="B101" s="31" t="n">
        <v>45475</v>
      </c>
      <c r="C101" s="10" t="inlineStr">
        <is>
          <t>No</t>
        </is>
      </c>
      <c r="D101" s="0">
        <f>IF(C101="Yes","Present",IF(C101="No","Absent",""))</f>
        <v/>
      </c>
      <c r="E101" s="0">
        <f>IF(D101="Present",1,0)</f>
        <v/>
      </c>
    </row>
    <row r="102" ht="15.75" customHeight="1" s="11">
      <c r="A102" s="2" t="inlineStr">
        <is>
          <t>Attendee 1</t>
        </is>
      </c>
      <c r="B102" s="31" t="n">
        <v>45476</v>
      </c>
      <c r="C102" s="10" t="inlineStr">
        <is>
          <t>No</t>
        </is>
      </c>
      <c r="D102" s="0">
        <f>IF(C102="Yes","Present",IF(C102="No","Absent",""))</f>
        <v/>
      </c>
      <c r="E102" s="0">
        <f>IF(D102="Present",1,0)</f>
        <v/>
      </c>
    </row>
    <row r="103" ht="15.75" customHeight="1" s="11">
      <c r="A103" s="2" t="inlineStr">
        <is>
          <t>Attendee 2</t>
        </is>
      </c>
      <c r="B103" s="31" t="n">
        <v>45476</v>
      </c>
      <c r="C103" s="10" t="inlineStr">
        <is>
          <t>Yes</t>
        </is>
      </c>
      <c r="D103" s="0">
        <f>IF(C103="Yes","Present",IF(C103="No","Absent",""))</f>
        <v/>
      </c>
      <c r="E103" s="0">
        <f>IF(D103="Present",1,0)</f>
        <v/>
      </c>
    </row>
    <row r="104" ht="15.75" customHeight="1" s="11">
      <c r="A104" s="2" t="inlineStr">
        <is>
          <t>Attendee 3</t>
        </is>
      </c>
      <c r="B104" s="31" t="n">
        <v>45476</v>
      </c>
      <c r="C104" s="10" t="inlineStr">
        <is>
          <t>Yes</t>
        </is>
      </c>
      <c r="D104" s="0">
        <f>IF(C104="Yes","Present",IF(C104="No","Absent",""))</f>
        <v/>
      </c>
      <c r="E104" s="0">
        <f>IF(D104="Present",1,0)</f>
        <v/>
      </c>
    </row>
    <row r="105" ht="15.75" customHeight="1" s="11">
      <c r="A105" s="2" t="inlineStr">
        <is>
          <t>Attendee 4</t>
        </is>
      </c>
      <c r="B105" s="31" t="n">
        <v>45476</v>
      </c>
      <c r="C105" s="10" t="inlineStr">
        <is>
          <t>Yes</t>
        </is>
      </c>
      <c r="D105" s="0">
        <f>IF(C105="Yes","Present",IF(C105="No","Absent",""))</f>
        <v/>
      </c>
      <c r="E105" s="0">
        <f>IF(D105="Present",1,0)</f>
        <v/>
      </c>
    </row>
    <row r="106" ht="15.75" customHeight="1" s="11">
      <c r="A106" s="2" t="inlineStr">
        <is>
          <t>Attendee 5</t>
        </is>
      </c>
      <c r="B106" s="31" t="n">
        <v>45476</v>
      </c>
      <c r="C106" s="10" t="inlineStr">
        <is>
          <t>Yes</t>
        </is>
      </c>
      <c r="D106" s="0">
        <f>IF(C106="Yes","Present",IF(C106="No","Absent",""))</f>
        <v/>
      </c>
      <c r="E106" s="0">
        <f>IF(D106="Present",1,0)</f>
        <v/>
      </c>
    </row>
    <row r="107" ht="15.75" customHeight="1" s="11">
      <c r="A107" s="2" t="inlineStr">
        <is>
          <t>Attendee 6</t>
        </is>
      </c>
      <c r="B107" s="31" t="n">
        <v>45476</v>
      </c>
      <c r="C107" s="10" t="inlineStr">
        <is>
          <t>Yes</t>
        </is>
      </c>
      <c r="D107" s="0">
        <f>IF(C107="Yes","Present",IF(C107="No","Absent",""))</f>
        <v/>
      </c>
      <c r="E107" s="0">
        <f>IF(D107="Present",1,0)</f>
        <v/>
      </c>
    </row>
    <row r="108" ht="15.75" customHeight="1" s="11">
      <c r="A108" s="2" t="inlineStr">
        <is>
          <t>Attendee 7</t>
        </is>
      </c>
      <c r="B108" s="31" t="n">
        <v>45476</v>
      </c>
      <c r="C108" s="10" t="inlineStr">
        <is>
          <t>Yes</t>
        </is>
      </c>
      <c r="D108" s="0">
        <f>IF(C108="Yes","Present",IF(C108="No","Absent",""))</f>
        <v/>
      </c>
      <c r="E108" s="0">
        <f>IF(D108="Present",1,0)</f>
        <v/>
      </c>
    </row>
    <row r="109" ht="15.75" customHeight="1" s="11">
      <c r="A109" s="2" t="inlineStr">
        <is>
          <t>Attendee 8</t>
        </is>
      </c>
      <c r="B109" s="31" t="n">
        <v>45476</v>
      </c>
      <c r="C109" s="10" t="inlineStr">
        <is>
          <t>Yes</t>
        </is>
      </c>
      <c r="D109" s="0">
        <f>IF(C109="Yes","Present",IF(C109="No","Absent",""))</f>
        <v/>
      </c>
      <c r="E109" s="0">
        <f>IF(D109="Present",1,0)</f>
        <v/>
      </c>
    </row>
    <row r="110" ht="15.75" customHeight="1" s="11">
      <c r="A110" s="2" t="inlineStr">
        <is>
          <t>Attendee 9</t>
        </is>
      </c>
      <c r="B110" s="31" t="n">
        <v>45476</v>
      </c>
      <c r="C110" s="10" t="inlineStr">
        <is>
          <t>Yes</t>
        </is>
      </c>
      <c r="D110" s="0">
        <f>IF(C110="Yes","Present",IF(C110="No","Absent",""))</f>
        <v/>
      </c>
      <c r="E110" s="0">
        <f>IF(D110="Present",1,0)</f>
        <v/>
      </c>
    </row>
    <row r="111" ht="15.75" customHeight="1" s="11">
      <c r="A111" s="2" t="inlineStr">
        <is>
          <t>Attendee 10</t>
        </is>
      </c>
      <c r="B111" s="31" t="n">
        <v>45476</v>
      </c>
      <c r="C111" s="10" t="inlineStr">
        <is>
          <t>Yes</t>
        </is>
      </c>
      <c r="D111" s="0">
        <f>IF(C111="Yes","Present",IF(C111="No","Absent",""))</f>
        <v/>
      </c>
      <c r="E111" s="0">
        <f>IF(D111="Present",1,0)</f>
        <v/>
      </c>
    </row>
    <row r="112" ht="15.75" customHeight="1" s="11">
      <c r="A112" s="2" t="inlineStr">
        <is>
          <t>Attendee 11</t>
        </is>
      </c>
      <c r="B112" s="31" t="n">
        <v>45476</v>
      </c>
      <c r="C112" s="10" t="inlineStr">
        <is>
          <t>Yes</t>
        </is>
      </c>
      <c r="D112" s="0">
        <f>IF(C112="Yes","Present",IF(C112="No","Absent",""))</f>
        <v/>
      </c>
      <c r="E112" s="0">
        <f>IF(D112="Present",1,0)</f>
        <v/>
      </c>
    </row>
    <row r="113" ht="15.75" customHeight="1" s="11">
      <c r="A113" s="2" t="inlineStr">
        <is>
          <t>Attendee 12</t>
        </is>
      </c>
      <c r="B113" s="31" t="n">
        <v>45476</v>
      </c>
      <c r="C113" s="10" t="inlineStr">
        <is>
          <t>No</t>
        </is>
      </c>
      <c r="D113" s="0">
        <f>IF(C113="Yes","Present",IF(C113="No","Absent",""))</f>
        <v/>
      </c>
      <c r="E113" s="0">
        <f>IF(D113="Present",1,0)</f>
        <v/>
      </c>
    </row>
    <row r="114" ht="15.75" customHeight="1" s="11">
      <c r="A114" s="2" t="inlineStr">
        <is>
          <t>Attendee 13</t>
        </is>
      </c>
      <c r="B114" s="31" t="n">
        <v>45476</v>
      </c>
      <c r="C114" s="10" t="inlineStr">
        <is>
          <t>No</t>
        </is>
      </c>
      <c r="D114" s="0">
        <f>IF(C114="Yes","Present",IF(C114="No","Absent",""))</f>
        <v/>
      </c>
      <c r="E114" s="0">
        <f>IF(D114="Present",1,0)</f>
        <v/>
      </c>
    </row>
    <row r="115" ht="15.75" customHeight="1" s="11">
      <c r="A115" s="2" t="inlineStr">
        <is>
          <t>Attendee 14</t>
        </is>
      </c>
      <c r="B115" s="31" t="n">
        <v>45476</v>
      </c>
      <c r="C115" s="10" t="inlineStr">
        <is>
          <t>No</t>
        </is>
      </c>
      <c r="D115" s="0">
        <f>IF(C115="Yes","Present",IF(C115="No","Absent",""))</f>
        <v/>
      </c>
      <c r="E115" s="0">
        <f>IF(D115="Present",1,0)</f>
        <v/>
      </c>
    </row>
    <row r="116" ht="15.75" customHeight="1" s="11">
      <c r="A116" s="2" t="inlineStr">
        <is>
          <t>Attendee 15</t>
        </is>
      </c>
      <c r="B116" s="31" t="n">
        <v>45476</v>
      </c>
      <c r="C116" s="10" t="inlineStr">
        <is>
          <t>No</t>
        </is>
      </c>
      <c r="D116" s="0">
        <f>IF(C116="Yes","Present",IF(C116="No","Absent",""))</f>
        <v/>
      </c>
      <c r="E116" s="0">
        <f>IF(D116="Present",1,0)</f>
        <v/>
      </c>
    </row>
    <row r="117" ht="15.75" customHeight="1" s="11">
      <c r="A117" s="2" t="inlineStr">
        <is>
          <t>Attendee 16</t>
        </is>
      </c>
      <c r="B117" s="31" t="n">
        <v>45476</v>
      </c>
      <c r="C117" s="10" t="inlineStr">
        <is>
          <t>No</t>
        </is>
      </c>
      <c r="D117" s="0">
        <f>IF(C117="Yes","Present",IF(C117="No","Absent",""))</f>
        <v/>
      </c>
      <c r="E117" s="0">
        <f>IF(D117="Present",1,0)</f>
        <v/>
      </c>
    </row>
    <row r="118" ht="15.75" customHeight="1" s="11">
      <c r="A118" s="2" t="inlineStr">
        <is>
          <t>Attendee 17</t>
        </is>
      </c>
      <c r="B118" s="31" t="n">
        <v>45476</v>
      </c>
      <c r="C118" s="10" t="inlineStr">
        <is>
          <t>Yes</t>
        </is>
      </c>
      <c r="D118" s="0">
        <f>IF(C118="Yes","Present",IF(C118="No","Absent",""))</f>
        <v/>
      </c>
      <c r="E118" s="0">
        <f>IF(D118="Present",1,0)</f>
        <v/>
      </c>
    </row>
    <row r="119" ht="15.75" customHeight="1" s="11">
      <c r="A119" s="2" t="inlineStr">
        <is>
          <t>Attendee 18</t>
        </is>
      </c>
      <c r="B119" s="31" t="n">
        <v>45476</v>
      </c>
      <c r="C119" s="10" t="inlineStr">
        <is>
          <t>Yes</t>
        </is>
      </c>
      <c r="D119" s="0">
        <f>IF(C119="Yes","Present",IF(C119="No","Absent",""))</f>
        <v/>
      </c>
      <c r="E119" s="0">
        <f>IF(D119="Present",1,0)</f>
        <v/>
      </c>
    </row>
    <row r="120" ht="15.75" customHeight="1" s="11">
      <c r="A120" s="2" t="inlineStr">
        <is>
          <t>Attendee 19</t>
        </is>
      </c>
      <c r="B120" s="31" t="n">
        <v>45476</v>
      </c>
      <c r="C120" s="10" t="inlineStr">
        <is>
          <t>Yes</t>
        </is>
      </c>
      <c r="D120" s="0">
        <f>IF(C120="Yes","Present",IF(C120="No","Absent",""))</f>
        <v/>
      </c>
      <c r="E120" s="0">
        <f>IF(D120="Present",1,0)</f>
        <v/>
      </c>
    </row>
    <row r="121" ht="15.75" customHeight="1" s="11">
      <c r="A121" s="2" t="inlineStr">
        <is>
          <t>Attendee 20</t>
        </is>
      </c>
      <c r="B121" s="31" t="n">
        <v>45476</v>
      </c>
      <c r="C121" s="10" t="inlineStr">
        <is>
          <t>No</t>
        </is>
      </c>
      <c r="D121" s="0">
        <f>IF(C121="Yes","Present",IF(C121="No","Absent",""))</f>
        <v/>
      </c>
      <c r="E121" s="0">
        <f>IF(D121="Present",1,0)</f>
        <v/>
      </c>
    </row>
    <row r="122" ht="15.75" customHeight="1" s="11">
      <c r="A122" s="2" t="inlineStr">
        <is>
          <t>Attendee 21</t>
        </is>
      </c>
      <c r="B122" s="31" t="n">
        <v>45476</v>
      </c>
      <c r="C122" s="10" t="inlineStr">
        <is>
          <t>Yes</t>
        </is>
      </c>
      <c r="D122" s="0">
        <f>IF(C122="Yes","Present",IF(C122="No","Absent",""))</f>
        <v/>
      </c>
      <c r="E122" s="0">
        <f>IF(D122="Present",1,0)</f>
        <v/>
      </c>
    </row>
    <row r="123" ht="15.75" customHeight="1" s="11">
      <c r="A123" s="2" t="inlineStr">
        <is>
          <t>Attendee 22</t>
        </is>
      </c>
      <c r="B123" s="31" t="n">
        <v>45476</v>
      </c>
      <c r="C123" s="10" t="inlineStr">
        <is>
          <t>No</t>
        </is>
      </c>
      <c r="D123" s="0">
        <f>IF(C123="Yes","Present",IF(C123="No","Absent",""))</f>
        <v/>
      </c>
      <c r="E123" s="0">
        <f>IF(D123="Present",1,0)</f>
        <v/>
      </c>
    </row>
    <row r="124" ht="15.75" customHeight="1" s="11">
      <c r="A124" s="2" t="inlineStr">
        <is>
          <t>Attendee 23</t>
        </is>
      </c>
      <c r="B124" s="31" t="n">
        <v>45476</v>
      </c>
      <c r="C124" s="10" t="inlineStr">
        <is>
          <t>No</t>
        </is>
      </c>
      <c r="D124" s="0">
        <f>IF(C124="Yes","Present",IF(C124="No","Absent",""))</f>
        <v/>
      </c>
      <c r="E124" s="0">
        <f>IF(D124="Present",1,0)</f>
        <v/>
      </c>
    </row>
    <row r="125" ht="15.75" customHeight="1" s="11">
      <c r="A125" s="2" t="inlineStr">
        <is>
          <t>Attendee 24</t>
        </is>
      </c>
      <c r="B125" s="31" t="n">
        <v>45476</v>
      </c>
      <c r="C125" s="10" t="inlineStr">
        <is>
          <t>Yes</t>
        </is>
      </c>
      <c r="D125" s="0">
        <f>IF(C125="Yes","Present",IF(C125="No","Absent",""))</f>
        <v/>
      </c>
      <c r="E125" s="0">
        <f>IF(D125="Present",1,0)</f>
        <v/>
      </c>
    </row>
    <row r="126" ht="15.75" customHeight="1" s="11">
      <c r="A126" s="2" t="inlineStr">
        <is>
          <t>Attendee 25</t>
        </is>
      </c>
      <c r="B126" s="31" t="n">
        <v>45476</v>
      </c>
      <c r="C126" s="10" t="inlineStr">
        <is>
          <t>No</t>
        </is>
      </c>
      <c r="D126" s="0">
        <f>IF(C126="Yes","Present",IF(C126="No","Absent",""))</f>
        <v/>
      </c>
      <c r="E126" s="0">
        <f>IF(D126="Present",1,0)</f>
        <v/>
      </c>
    </row>
    <row r="127" ht="15.75" customHeight="1" s="11">
      <c r="A127" s="2" t="inlineStr">
        <is>
          <t>Attendee 26</t>
        </is>
      </c>
      <c r="B127" s="31" t="n">
        <v>45476</v>
      </c>
      <c r="C127" s="10" t="inlineStr">
        <is>
          <t>No</t>
        </is>
      </c>
      <c r="D127" s="0">
        <f>IF(C127="Yes","Present",IF(C127="No","Absent",""))</f>
        <v/>
      </c>
      <c r="E127" s="0">
        <f>IF(D127="Present",1,0)</f>
        <v/>
      </c>
    </row>
    <row r="128" ht="15.75" customHeight="1" s="11">
      <c r="A128" s="2" t="inlineStr">
        <is>
          <t>Attendee 27</t>
        </is>
      </c>
      <c r="B128" s="31" t="n">
        <v>45476</v>
      </c>
      <c r="C128" s="10" t="inlineStr">
        <is>
          <t>No</t>
        </is>
      </c>
      <c r="D128" s="0">
        <f>IF(C128="Yes","Present",IF(C128="No","Absent",""))</f>
        <v/>
      </c>
      <c r="E128" s="0">
        <f>IF(D128="Present",1,0)</f>
        <v/>
      </c>
    </row>
    <row r="129" ht="15.75" customHeight="1" s="11">
      <c r="A129" s="2" t="inlineStr">
        <is>
          <t>Attendee 28</t>
        </is>
      </c>
      <c r="B129" s="31" t="n">
        <v>45476</v>
      </c>
      <c r="C129" s="10" t="inlineStr">
        <is>
          <t>No</t>
        </is>
      </c>
      <c r="D129" s="0">
        <f>IF(C129="Yes","Present",IF(C129="No","Absent",""))</f>
        <v/>
      </c>
      <c r="E129" s="0">
        <f>IF(D129="Present",1,0)</f>
        <v/>
      </c>
    </row>
    <row r="130" ht="15.75" customHeight="1" s="11">
      <c r="A130" s="2" t="inlineStr">
        <is>
          <t>Attendee 29</t>
        </is>
      </c>
      <c r="B130" s="31" t="n">
        <v>45476</v>
      </c>
      <c r="C130" s="10" t="inlineStr">
        <is>
          <t>No</t>
        </is>
      </c>
      <c r="D130" s="0">
        <f>IF(C130="Yes","Present",IF(C130="No","Absent",""))</f>
        <v/>
      </c>
      <c r="E130" s="0">
        <f>IF(D130="Present",1,0)</f>
        <v/>
      </c>
    </row>
    <row r="131" ht="15.75" customHeight="1" s="11">
      <c r="A131" s="2" t="inlineStr">
        <is>
          <t>Attendee 30</t>
        </is>
      </c>
      <c r="B131" s="31" t="n">
        <v>45476</v>
      </c>
      <c r="C131" s="10" t="inlineStr">
        <is>
          <t>Yes</t>
        </is>
      </c>
      <c r="D131" s="0">
        <f>IF(C131="Yes","Present",IF(C131="No","Absent",""))</f>
        <v/>
      </c>
      <c r="E131" s="0">
        <f>IF(D131="Present",1,0)</f>
        <v/>
      </c>
    </row>
    <row r="132" ht="15.75" customHeight="1" s="11">
      <c r="A132" s="2" t="inlineStr">
        <is>
          <t>Attendee 31</t>
        </is>
      </c>
      <c r="B132" s="31" t="n">
        <v>45476</v>
      </c>
      <c r="C132" s="10" t="inlineStr">
        <is>
          <t>No</t>
        </is>
      </c>
      <c r="D132" s="0">
        <f>IF(C132="Yes","Present",IF(C132="No","Absent",""))</f>
        <v/>
      </c>
      <c r="E132" s="0">
        <f>IF(D132="Present",1,0)</f>
        <v/>
      </c>
    </row>
    <row r="133" ht="15.75" customHeight="1" s="11">
      <c r="A133" s="2" t="inlineStr">
        <is>
          <t>Attendee 32</t>
        </is>
      </c>
      <c r="B133" s="31" t="n">
        <v>45476</v>
      </c>
      <c r="C133" s="10" t="inlineStr">
        <is>
          <t>No</t>
        </is>
      </c>
      <c r="D133" s="0">
        <f>IF(C133="Yes","Present",IF(C133="No","Absent",""))</f>
        <v/>
      </c>
      <c r="E133" s="0">
        <f>IF(D133="Present",1,0)</f>
        <v/>
      </c>
    </row>
    <row r="134" ht="15.75" customHeight="1" s="11">
      <c r="A134" s="2" t="inlineStr">
        <is>
          <t>Attendee 33</t>
        </is>
      </c>
      <c r="B134" s="31" t="n">
        <v>45476</v>
      </c>
      <c r="C134" s="10" t="inlineStr">
        <is>
          <t>Yes</t>
        </is>
      </c>
      <c r="D134" s="0">
        <f>IF(C134="Yes","Present",IF(C134="No","Absent",""))</f>
        <v/>
      </c>
      <c r="E134" s="0">
        <f>IF(D134="Present",1,0)</f>
        <v/>
      </c>
    </row>
    <row r="135" ht="15.75" customHeight="1" s="11">
      <c r="A135" s="2" t="inlineStr">
        <is>
          <t>Attendee 34</t>
        </is>
      </c>
      <c r="B135" s="31" t="n">
        <v>45476</v>
      </c>
      <c r="C135" s="10" t="inlineStr">
        <is>
          <t>Yes</t>
        </is>
      </c>
      <c r="D135" s="0">
        <f>IF(C135="Yes","Present",IF(C135="No","Absent",""))</f>
        <v/>
      </c>
      <c r="E135" s="0">
        <f>IF(D135="Present",1,0)</f>
        <v/>
      </c>
    </row>
    <row r="136" ht="15.75" customHeight="1" s="11">
      <c r="A136" s="2" t="inlineStr">
        <is>
          <t>Attendee 35</t>
        </is>
      </c>
      <c r="B136" s="31" t="n">
        <v>45476</v>
      </c>
      <c r="C136" s="10" t="inlineStr">
        <is>
          <t>No</t>
        </is>
      </c>
      <c r="D136" s="0">
        <f>IF(C136="Yes","Present",IF(C136="No","Absent",""))</f>
        <v/>
      </c>
      <c r="E136" s="0">
        <f>IF(D136="Present",1,0)</f>
        <v/>
      </c>
    </row>
    <row r="137" ht="15.75" customHeight="1" s="11">
      <c r="A137" s="2" t="inlineStr">
        <is>
          <t>Attendee 36</t>
        </is>
      </c>
      <c r="B137" s="31" t="n">
        <v>45476</v>
      </c>
      <c r="C137" s="10" t="inlineStr">
        <is>
          <t>Yes</t>
        </is>
      </c>
      <c r="D137" s="0">
        <f>IF(C137="Yes","Present",IF(C137="No","Absent",""))</f>
        <v/>
      </c>
      <c r="E137" s="0">
        <f>IF(D137="Present",1,0)</f>
        <v/>
      </c>
    </row>
    <row r="138" ht="15.75" customHeight="1" s="11">
      <c r="A138" s="2" t="inlineStr">
        <is>
          <t>Attendee 37</t>
        </is>
      </c>
      <c r="B138" s="31" t="n">
        <v>45476</v>
      </c>
      <c r="C138" s="10" t="inlineStr">
        <is>
          <t>Yes</t>
        </is>
      </c>
      <c r="D138" s="0">
        <f>IF(C138="Yes","Present",IF(C138="No","Absent",""))</f>
        <v/>
      </c>
      <c r="E138" s="0">
        <f>IF(D138="Present",1,0)</f>
        <v/>
      </c>
    </row>
    <row r="139" ht="15.75" customHeight="1" s="11">
      <c r="A139" s="2" t="inlineStr">
        <is>
          <t>Attendee 38</t>
        </is>
      </c>
      <c r="B139" s="31" t="n">
        <v>45476</v>
      </c>
      <c r="C139" s="10" t="inlineStr">
        <is>
          <t>No</t>
        </is>
      </c>
      <c r="D139" s="0">
        <f>IF(C139="Yes","Present",IF(C139="No","Absent",""))</f>
        <v/>
      </c>
      <c r="E139" s="0">
        <f>IF(D139="Present",1,0)</f>
        <v/>
      </c>
    </row>
    <row r="140" ht="15.75" customHeight="1" s="11">
      <c r="A140" s="2" t="inlineStr">
        <is>
          <t>Attendee 39</t>
        </is>
      </c>
      <c r="B140" s="31" t="n">
        <v>45476</v>
      </c>
      <c r="C140" s="10" t="inlineStr">
        <is>
          <t>Yes</t>
        </is>
      </c>
      <c r="D140" s="0">
        <f>IF(C140="Yes","Present",IF(C140="No","Absent",""))</f>
        <v/>
      </c>
      <c r="E140" s="0">
        <f>IF(D140="Present",1,0)</f>
        <v/>
      </c>
    </row>
    <row r="141" ht="15.75" customHeight="1" s="11">
      <c r="A141" s="2" t="inlineStr">
        <is>
          <t>Attendee 40</t>
        </is>
      </c>
      <c r="B141" s="31" t="n">
        <v>45476</v>
      </c>
      <c r="C141" s="10" t="inlineStr">
        <is>
          <t>No</t>
        </is>
      </c>
      <c r="D141" s="0">
        <f>IF(C141="Yes","Present",IF(C141="No","Absent",""))</f>
        <v/>
      </c>
      <c r="E141" s="0">
        <f>IF(D141="Present",1,0)</f>
        <v/>
      </c>
    </row>
    <row r="142" ht="15.75" customHeight="1" s="11">
      <c r="A142" s="2" t="inlineStr">
        <is>
          <t>Attendee 41</t>
        </is>
      </c>
      <c r="B142" s="31" t="n">
        <v>45476</v>
      </c>
      <c r="C142" s="10" t="inlineStr">
        <is>
          <t>Yes</t>
        </is>
      </c>
      <c r="D142" s="0">
        <f>IF(C142="Yes","Present",IF(C142="No","Absent",""))</f>
        <v/>
      </c>
      <c r="E142" s="0">
        <f>IF(D142="Present",1,0)</f>
        <v/>
      </c>
    </row>
    <row r="143" ht="15.75" customHeight="1" s="11">
      <c r="A143" s="2" t="inlineStr">
        <is>
          <t>Attendee 42</t>
        </is>
      </c>
      <c r="B143" s="31" t="n">
        <v>45476</v>
      </c>
      <c r="C143" s="10" t="inlineStr">
        <is>
          <t>No</t>
        </is>
      </c>
      <c r="D143" s="0">
        <f>IF(C143="Yes","Present",IF(C143="No","Absent",""))</f>
        <v/>
      </c>
      <c r="E143" s="0">
        <f>IF(D143="Present",1,0)</f>
        <v/>
      </c>
    </row>
    <row r="144" ht="15.75" customHeight="1" s="11">
      <c r="A144" s="2" t="inlineStr">
        <is>
          <t>Attendee 43</t>
        </is>
      </c>
      <c r="B144" s="31" t="n">
        <v>45476</v>
      </c>
      <c r="C144" s="10" t="inlineStr">
        <is>
          <t>No</t>
        </is>
      </c>
      <c r="D144" s="0">
        <f>IF(C144="Yes","Present",IF(C144="No","Absent",""))</f>
        <v/>
      </c>
      <c r="E144" s="0">
        <f>IF(D144="Present",1,0)</f>
        <v/>
      </c>
    </row>
    <row r="145" ht="15.75" customHeight="1" s="11">
      <c r="A145" s="2" t="inlineStr">
        <is>
          <t>Attendee 44</t>
        </is>
      </c>
      <c r="B145" s="31" t="n">
        <v>45476</v>
      </c>
      <c r="C145" s="10" t="inlineStr">
        <is>
          <t>No</t>
        </is>
      </c>
      <c r="D145" s="0">
        <f>IF(C145="Yes","Present",IF(C145="No","Absent",""))</f>
        <v/>
      </c>
      <c r="E145" s="0">
        <f>IF(D145="Present",1,0)</f>
        <v/>
      </c>
    </row>
    <row r="146" ht="15.75" customHeight="1" s="11">
      <c r="A146" s="2" t="inlineStr">
        <is>
          <t>Attendee 45</t>
        </is>
      </c>
      <c r="B146" s="31" t="n">
        <v>45476</v>
      </c>
      <c r="C146" s="10" t="inlineStr">
        <is>
          <t>No</t>
        </is>
      </c>
      <c r="D146" s="0">
        <f>IF(C146="Yes","Present",IF(C146="No","Absent",""))</f>
        <v/>
      </c>
      <c r="E146" s="0">
        <f>IF(D146="Present",1,0)</f>
        <v/>
      </c>
    </row>
    <row r="147" ht="15.75" customHeight="1" s="11">
      <c r="A147" s="2" t="inlineStr">
        <is>
          <t>Attendee 46</t>
        </is>
      </c>
      <c r="B147" s="31" t="n">
        <v>45476</v>
      </c>
      <c r="C147" s="10" t="inlineStr">
        <is>
          <t>Yes</t>
        </is>
      </c>
      <c r="D147" s="0">
        <f>IF(C147="Yes","Present",IF(C147="No","Absent",""))</f>
        <v/>
      </c>
      <c r="E147" s="0">
        <f>IF(D147="Present",1,0)</f>
        <v/>
      </c>
    </row>
    <row r="148" ht="15.75" customHeight="1" s="11">
      <c r="A148" s="2" t="inlineStr">
        <is>
          <t>Attendee 47</t>
        </is>
      </c>
      <c r="B148" s="31" t="n">
        <v>45476</v>
      </c>
      <c r="C148" s="10" t="inlineStr">
        <is>
          <t>Yes</t>
        </is>
      </c>
      <c r="D148" s="0">
        <f>IF(C148="Yes","Present",IF(C148="No","Absent",""))</f>
        <v/>
      </c>
      <c r="E148" s="0">
        <f>IF(D148="Present",1,0)</f>
        <v/>
      </c>
    </row>
    <row r="149" ht="15.75" customHeight="1" s="11">
      <c r="A149" s="2" t="inlineStr">
        <is>
          <t>Attendee 48</t>
        </is>
      </c>
      <c r="B149" s="31" t="n">
        <v>45476</v>
      </c>
      <c r="C149" s="10" t="inlineStr">
        <is>
          <t>No</t>
        </is>
      </c>
      <c r="D149" s="0">
        <f>IF(C149="Yes","Present",IF(C149="No","Absent",""))</f>
        <v/>
      </c>
      <c r="E149" s="0">
        <f>IF(D149="Present",1,0)</f>
        <v/>
      </c>
    </row>
    <row r="150" ht="15.75" customHeight="1" s="11">
      <c r="A150" s="2" t="inlineStr">
        <is>
          <t>Attendee 49</t>
        </is>
      </c>
      <c r="B150" s="31" t="n">
        <v>45476</v>
      </c>
      <c r="C150" s="10" t="inlineStr">
        <is>
          <t>No</t>
        </is>
      </c>
      <c r="D150" s="0">
        <f>IF(C150="Yes","Present",IF(C150="No","Absent",""))</f>
        <v/>
      </c>
      <c r="E150" s="0">
        <f>IF(D150="Present",1,0)</f>
        <v/>
      </c>
    </row>
    <row r="151" ht="15.75" customHeight="1" s="11">
      <c r="A151" s="2" t="inlineStr">
        <is>
          <t>Attendee 50</t>
        </is>
      </c>
      <c r="B151" s="31" t="n">
        <v>45476</v>
      </c>
      <c r="C151" s="10" t="inlineStr">
        <is>
          <t>No</t>
        </is>
      </c>
      <c r="D151" s="0">
        <f>IF(C151="Yes","Present",IF(C151="No","Absent",""))</f>
        <v/>
      </c>
      <c r="E151" s="0">
        <f>IF(D151="Present",1,0)</f>
        <v/>
      </c>
    </row>
    <row r="152" ht="15.75" customHeight="1" s="11">
      <c r="A152" s="2" t="inlineStr">
        <is>
          <t>Attendee 1</t>
        </is>
      </c>
      <c r="B152" s="31" t="n">
        <v>45477</v>
      </c>
      <c r="C152" s="10" t="inlineStr">
        <is>
          <t>Yes</t>
        </is>
      </c>
      <c r="D152" s="0">
        <f>IF(C152="Yes","Present",IF(C152="No","Absent",""))</f>
        <v/>
      </c>
      <c r="E152" s="0">
        <f>IF(D152="Present",1,0)</f>
        <v/>
      </c>
    </row>
    <row r="153" ht="15.75" customHeight="1" s="11">
      <c r="A153" s="2" t="inlineStr">
        <is>
          <t>Attendee 2</t>
        </is>
      </c>
      <c r="B153" s="31" t="n">
        <v>45477</v>
      </c>
      <c r="C153" s="10" t="inlineStr">
        <is>
          <t>Yes</t>
        </is>
      </c>
      <c r="D153" s="0">
        <f>IF(C153="Yes","Present",IF(C153="No","Absent",""))</f>
        <v/>
      </c>
      <c r="E153" s="0">
        <f>IF(D153="Present",1,0)</f>
        <v/>
      </c>
    </row>
    <row r="154" ht="15.75" customHeight="1" s="11">
      <c r="A154" s="2" t="inlineStr">
        <is>
          <t>Attendee 3</t>
        </is>
      </c>
      <c r="B154" s="31" t="n">
        <v>45477</v>
      </c>
      <c r="C154" s="10" t="inlineStr">
        <is>
          <t>No</t>
        </is>
      </c>
      <c r="D154" s="0">
        <f>IF(C154="Yes","Present",IF(C154="No","Absent",""))</f>
        <v/>
      </c>
      <c r="E154" s="0">
        <f>IF(D154="Present",1,0)</f>
        <v/>
      </c>
    </row>
    <row r="155" ht="15.75" customHeight="1" s="11">
      <c r="A155" s="2" t="inlineStr">
        <is>
          <t>Attendee 4</t>
        </is>
      </c>
      <c r="B155" s="31" t="n">
        <v>45477</v>
      </c>
      <c r="C155" s="10" t="inlineStr">
        <is>
          <t>Yes</t>
        </is>
      </c>
      <c r="D155" s="0">
        <f>IF(C155="Yes","Present",IF(C155="No","Absent",""))</f>
        <v/>
      </c>
      <c r="E155" s="0">
        <f>IF(D155="Present",1,0)</f>
        <v/>
      </c>
    </row>
    <row r="156" ht="15.75" customHeight="1" s="11">
      <c r="A156" s="2" t="inlineStr">
        <is>
          <t>Attendee 5</t>
        </is>
      </c>
      <c r="B156" s="31" t="n">
        <v>45477</v>
      </c>
      <c r="C156" s="10" t="inlineStr">
        <is>
          <t>Yes</t>
        </is>
      </c>
      <c r="D156" s="0">
        <f>IF(C156="Yes","Present",IF(C156="No","Absent",""))</f>
        <v/>
      </c>
      <c r="E156" s="0">
        <f>IF(D156="Present",1,0)</f>
        <v/>
      </c>
    </row>
    <row r="157" ht="15.75" customHeight="1" s="11">
      <c r="A157" s="2" t="inlineStr">
        <is>
          <t>Attendee 6</t>
        </is>
      </c>
      <c r="B157" s="31" t="n">
        <v>45477</v>
      </c>
      <c r="C157" s="10" t="inlineStr">
        <is>
          <t>Yes</t>
        </is>
      </c>
      <c r="D157" s="0">
        <f>IF(C157="Yes","Present",IF(C157="No","Absent",""))</f>
        <v/>
      </c>
      <c r="E157" s="0">
        <f>IF(D157="Present",1,0)</f>
        <v/>
      </c>
    </row>
    <row r="158" ht="15.75" customHeight="1" s="11">
      <c r="A158" s="2" t="inlineStr">
        <is>
          <t>Attendee 7</t>
        </is>
      </c>
      <c r="B158" s="31" t="n">
        <v>45477</v>
      </c>
      <c r="C158" s="10" t="inlineStr">
        <is>
          <t>Yes</t>
        </is>
      </c>
      <c r="D158" s="0">
        <f>IF(C158="Yes","Present",IF(C158="No","Absent",""))</f>
        <v/>
      </c>
      <c r="E158" s="0">
        <f>IF(D158="Present",1,0)</f>
        <v/>
      </c>
    </row>
    <row r="159" ht="15.75" customHeight="1" s="11">
      <c r="A159" s="2" t="inlineStr">
        <is>
          <t>Attendee 8</t>
        </is>
      </c>
      <c r="B159" s="31" t="n">
        <v>45477</v>
      </c>
      <c r="C159" s="10" t="inlineStr">
        <is>
          <t>Yes</t>
        </is>
      </c>
      <c r="D159" s="0">
        <f>IF(C159="Yes","Present",IF(C159="No","Absent",""))</f>
        <v/>
      </c>
      <c r="E159" s="0">
        <f>IF(D159="Present",1,0)</f>
        <v/>
      </c>
    </row>
    <row r="160" ht="15.75" customHeight="1" s="11">
      <c r="A160" s="2" t="inlineStr">
        <is>
          <t>Attendee 9</t>
        </is>
      </c>
      <c r="B160" s="31" t="n">
        <v>45477</v>
      </c>
      <c r="C160" s="10" t="inlineStr">
        <is>
          <t>Yes</t>
        </is>
      </c>
      <c r="D160" s="0">
        <f>IF(C160="Yes","Present",IF(C160="No","Absent",""))</f>
        <v/>
      </c>
      <c r="E160" s="0">
        <f>IF(D160="Present",1,0)</f>
        <v/>
      </c>
    </row>
    <row r="161" ht="15.75" customHeight="1" s="11">
      <c r="A161" s="2" t="inlineStr">
        <is>
          <t>Attendee 10</t>
        </is>
      </c>
      <c r="B161" s="31" t="n">
        <v>45477</v>
      </c>
      <c r="C161" s="10" t="inlineStr">
        <is>
          <t>No</t>
        </is>
      </c>
      <c r="D161" s="0">
        <f>IF(C161="Yes","Present",IF(C161="No","Absent",""))</f>
        <v/>
      </c>
      <c r="E161" s="0">
        <f>IF(D161="Present",1,0)</f>
        <v/>
      </c>
    </row>
    <row r="162" ht="15.75" customHeight="1" s="11">
      <c r="A162" s="2" t="inlineStr">
        <is>
          <t>Attendee 11</t>
        </is>
      </c>
      <c r="B162" s="31" t="n">
        <v>45477</v>
      </c>
      <c r="C162" s="10" t="inlineStr">
        <is>
          <t>Yes</t>
        </is>
      </c>
      <c r="D162" s="0">
        <f>IF(C162="Yes","Present",IF(C162="No","Absent",""))</f>
        <v/>
      </c>
      <c r="E162" s="0">
        <f>IF(D162="Present",1,0)</f>
        <v/>
      </c>
    </row>
    <row r="163" ht="15.75" customHeight="1" s="11">
      <c r="A163" s="2" t="inlineStr">
        <is>
          <t>Attendee 12</t>
        </is>
      </c>
      <c r="B163" s="31" t="n">
        <v>45477</v>
      </c>
      <c r="C163" s="10" t="inlineStr">
        <is>
          <t>No</t>
        </is>
      </c>
      <c r="D163" s="0">
        <f>IF(C163="Yes","Present",IF(C163="No","Absent",""))</f>
        <v/>
      </c>
      <c r="E163" s="0">
        <f>IF(D163="Present",1,0)</f>
        <v/>
      </c>
    </row>
    <row r="164" ht="15.75" customHeight="1" s="11">
      <c r="A164" s="2" t="inlineStr">
        <is>
          <t>Attendee 13</t>
        </is>
      </c>
      <c r="B164" s="31" t="n">
        <v>45477</v>
      </c>
      <c r="C164" s="10" t="inlineStr">
        <is>
          <t>No</t>
        </is>
      </c>
      <c r="D164" s="0">
        <f>IF(C164="Yes","Present",IF(C164="No","Absent",""))</f>
        <v/>
      </c>
      <c r="E164" s="0">
        <f>IF(D164="Present",1,0)</f>
        <v/>
      </c>
    </row>
    <row r="165" ht="15.75" customHeight="1" s="11">
      <c r="A165" s="2" t="inlineStr">
        <is>
          <t>Attendee 14</t>
        </is>
      </c>
      <c r="B165" s="31" t="n">
        <v>45477</v>
      </c>
      <c r="C165" s="10" t="inlineStr">
        <is>
          <t>Yes</t>
        </is>
      </c>
      <c r="D165" s="0">
        <f>IF(C165="Yes","Present",IF(C165="No","Absent",""))</f>
        <v/>
      </c>
      <c r="E165" s="0">
        <f>IF(D165="Present",1,0)</f>
        <v/>
      </c>
    </row>
    <row r="166" ht="15.75" customHeight="1" s="11">
      <c r="A166" s="2" t="inlineStr">
        <is>
          <t>Attendee 15</t>
        </is>
      </c>
      <c r="B166" s="31" t="n">
        <v>45477</v>
      </c>
      <c r="C166" s="10" t="inlineStr">
        <is>
          <t>Yes</t>
        </is>
      </c>
      <c r="D166" s="0">
        <f>IF(C166="Yes","Present",IF(C166="No","Absent",""))</f>
        <v/>
      </c>
      <c r="E166" s="0">
        <f>IF(D166="Present",1,0)</f>
        <v/>
      </c>
    </row>
    <row r="167" ht="15.75" customHeight="1" s="11">
      <c r="A167" s="2" t="inlineStr">
        <is>
          <t>Attendee 16</t>
        </is>
      </c>
      <c r="B167" s="31" t="n">
        <v>45477</v>
      </c>
      <c r="C167" s="10" t="inlineStr">
        <is>
          <t>Yes</t>
        </is>
      </c>
      <c r="D167" s="0">
        <f>IF(C167="Yes","Present",IF(C167="No","Absent",""))</f>
        <v/>
      </c>
      <c r="E167" s="0">
        <f>IF(D167="Present",1,0)</f>
        <v/>
      </c>
    </row>
    <row r="168" ht="15.75" customHeight="1" s="11">
      <c r="A168" s="2" t="inlineStr">
        <is>
          <t>Attendee 17</t>
        </is>
      </c>
      <c r="B168" s="31" t="n">
        <v>45477</v>
      </c>
      <c r="C168" s="10" t="inlineStr">
        <is>
          <t>No</t>
        </is>
      </c>
      <c r="D168" s="0">
        <f>IF(C168="Yes","Present",IF(C168="No","Absent",""))</f>
        <v/>
      </c>
      <c r="E168" s="0">
        <f>IF(D168="Present",1,0)</f>
        <v/>
      </c>
    </row>
    <row r="169" ht="15.75" customHeight="1" s="11">
      <c r="A169" s="2" t="inlineStr">
        <is>
          <t>Attendee 18</t>
        </is>
      </c>
      <c r="B169" s="31" t="n">
        <v>45477</v>
      </c>
      <c r="C169" s="10" t="inlineStr">
        <is>
          <t>No</t>
        </is>
      </c>
      <c r="D169" s="0">
        <f>IF(C169="Yes","Present",IF(C169="No","Absent",""))</f>
        <v/>
      </c>
      <c r="E169" s="0">
        <f>IF(D169="Present",1,0)</f>
        <v/>
      </c>
    </row>
    <row r="170" ht="15.75" customHeight="1" s="11">
      <c r="A170" s="2" t="inlineStr">
        <is>
          <t>Attendee 19</t>
        </is>
      </c>
      <c r="B170" s="31" t="n">
        <v>45477</v>
      </c>
      <c r="C170" s="10" t="inlineStr">
        <is>
          <t>No</t>
        </is>
      </c>
      <c r="D170" s="0">
        <f>IF(C170="Yes","Present",IF(C170="No","Absent",""))</f>
        <v/>
      </c>
      <c r="E170" s="0">
        <f>IF(D170="Present",1,0)</f>
        <v/>
      </c>
    </row>
    <row r="171" ht="15.75" customHeight="1" s="11">
      <c r="A171" s="2" t="inlineStr">
        <is>
          <t>Attendee 20</t>
        </is>
      </c>
      <c r="B171" s="31" t="n">
        <v>45477</v>
      </c>
      <c r="C171" s="10" t="inlineStr">
        <is>
          <t>Yes</t>
        </is>
      </c>
      <c r="D171" s="0">
        <f>IF(C171="Yes","Present",IF(C171="No","Absent",""))</f>
        <v/>
      </c>
      <c r="E171" s="0">
        <f>IF(D171="Present",1,0)</f>
        <v/>
      </c>
    </row>
    <row r="172" ht="15.75" customHeight="1" s="11">
      <c r="A172" s="2" t="inlineStr">
        <is>
          <t>Attendee 21</t>
        </is>
      </c>
      <c r="B172" s="31" t="n">
        <v>45477</v>
      </c>
      <c r="C172" s="10" t="inlineStr">
        <is>
          <t>No</t>
        </is>
      </c>
      <c r="D172" s="0">
        <f>IF(C172="Yes","Present",IF(C172="No","Absent",""))</f>
        <v/>
      </c>
      <c r="E172" s="0">
        <f>IF(D172="Present",1,0)</f>
        <v/>
      </c>
    </row>
    <row r="173" ht="15.75" customHeight="1" s="11">
      <c r="A173" s="2" t="inlineStr">
        <is>
          <t>Attendee 22</t>
        </is>
      </c>
      <c r="B173" s="31" t="n">
        <v>45477</v>
      </c>
      <c r="C173" s="10" t="inlineStr">
        <is>
          <t>No</t>
        </is>
      </c>
      <c r="D173" s="0">
        <f>IF(C173="Yes","Present",IF(C173="No","Absent",""))</f>
        <v/>
      </c>
      <c r="E173" s="0">
        <f>IF(D173="Present",1,0)</f>
        <v/>
      </c>
    </row>
    <row r="174" ht="15.75" customHeight="1" s="11">
      <c r="A174" s="2" t="inlineStr">
        <is>
          <t>Attendee 23</t>
        </is>
      </c>
      <c r="B174" s="31" t="n">
        <v>45477</v>
      </c>
      <c r="C174" s="10" t="inlineStr">
        <is>
          <t>Yes</t>
        </is>
      </c>
      <c r="D174" s="0">
        <f>IF(C174="Yes","Present",IF(C174="No","Absent",""))</f>
        <v/>
      </c>
      <c r="E174" s="0">
        <f>IF(D174="Present",1,0)</f>
        <v/>
      </c>
    </row>
    <row r="175" ht="15.75" customHeight="1" s="11">
      <c r="A175" s="2" t="inlineStr">
        <is>
          <t>Attendee 24</t>
        </is>
      </c>
      <c r="B175" s="31" t="n">
        <v>45477</v>
      </c>
      <c r="C175" s="10" t="inlineStr">
        <is>
          <t>No</t>
        </is>
      </c>
      <c r="D175" s="0">
        <f>IF(C175="Yes","Present",IF(C175="No","Absent",""))</f>
        <v/>
      </c>
      <c r="E175" s="0">
        <f>IF(D175="Present",1,0)</f>
        <v/>
      </c>
    </row>
    <row r="176" ht="15.75" customHeight="1" s="11">
      <c r="A176" s="2" t="inlineStr">
        <is>
          <t>Attendee 25</t>
        </is>
      </c>
      <c r="B176" s="31" t="n">
        <v>45477</v>
      </c>
      <c r="C176" s="10" t="inlineStr">
        <is>
          <t>Yes</t>
        </is>
      </c>
      <c r="D176" s="0">
        <f>IF(C176="Yes","Present",IF(C176="No","Absent",""))</f>
        <v/>
      </c>
      <c r="E176" s="0">
        <f>IF(D176="Present",1,0)</f>
        <v/>
      </c>
    </row>
    <row r="177" ht="15.75" customHeight="1" s="11">
      <c r="A177" s="2" t="inlineStr">
        <is>
          <t>Attendee 26</t>
        </is>
      </c>
      <c r="B177" s="31" t="n">
        <v>45477</v>
      </c>
      <c r="C177" s="10" t="inlineStr">
        <is>
          <t>No</t>
        </is>
      </c>
      <c r="D177" s="0">
        <f>IF(C177="Yes","Present",IF(C177="No","Absent",""))</f>
        <v/>
      </c>
      <c r="E177" s="0">
        <f>IF(D177="Present",1,0)</f>
        <v/>
      </c>
    </row>
    <row r="178" ht="15.75" customHeight="1" s="11">
      <c r="A178" s="2" t="inlineStr">
        <is>
          <t>Attendee 27</t>
        </is>
      </c>
      <c r="B178" s="31" t="n">
        <v>45477</v>
      </c>
      <c r="C178" s="10" t="inlineStr">
        <is>
          <t>Yes</t>
        </is>
      </c>
      <c r="D178" s="0">
        <f>IF(C178="Yes","Present",IF(C178="No","Absent",""))</f>
        <v/>
      </c>
      <c r="E178" s="0">
        <f>IF(D178="Present",1,0)</f>
        <v/>
      </c>
    </row>
    <row r="179" ht="15.75" customHeight="1" s="11">
      <c r="A179" s="2" t="inlineStr">
        <is>
          <t>Attendee 28</t>
        </is>
      </c>
      <c r="B179" s="31" t="n">
        <v>45477</v>
      </c>
      <c r="C179" s="10" t="inlineStr">
        <is>
          <t>No</t>
        </is>
      </c>
      <c r="D179" s="0">
        <f>IF(C179="Yes","Present",IF(C179="No","Absent",""))</f>
        <v/>
      </c>
      <c r="E179" s="0">
        <f>IF(D179="Present",1,0)</f>
        <v/>
      </c>
    </row>
    <row r="180" ht="15.75" customHeight="1" s="11">
      <c r="A180" s="2" t="inlineStr">
        <is>
          <t>Attendee 29</t>
        </is>
      </c>
      <c r="B180" s="31" t="n">
        <v>45477</v>
      </c>
      <c r="C180" s="10" t="inlineStr">
        <is>
          <t>Yes</t>
        </is>
      </c>
      <c r="D180" s="0">
        <f>IF(C180="Yes","Present",IF(C180="No","Absent",""))</f>
        <v/>
      </c>
      <c r="E180" s="0">
        <f>IF(D180="Present",1,0)</f>
        <v/>
      </c>
    </row>
    <row r="181" ht="15.75" customHeight="1" s="11">
      <c r="A181" s="2" t="inlineStr">
        <is>
          <t>Attendee 30</t>
        </is>
      </c>
      <c r="B181" s="31" t="n">
        <v>45477</v>
      </c>
      <c r="C181" s="10" t="inlineStr">
        <is>
          <t>Yes</t>
        </is>
      </c>
      <c r="D181" s="0">
        <f>IF(C181="Yes","Present",IF(C181="No","Absent",""))</f>
        <v/>
      </c>
      <c r="E181" s="0">
        <f>IF(D181="Present",1,0)</f>
        <v/>
      </c>
    </row>
    <row r="182" ht="15.75" customHeight="1" s="11">
      <c r="A182" s="2" t="inlineStr">
        <is>
          <t>Attendee 31</t>
        </is>
      </c>
      <c r="B182" s="31" t="n">
        <v>45477</v>
      </c>
      <c r="C182" s="10" t="inlineStr">
        <is>
          <t>Yes</t>
        </is>
      </c>
      <c r="D182" s="0">
        <f>IF(C182="Yes","Present",IF(C182="No","Absent",""))</f>
        <v/>
      </c>
      <c r="E182" s="0">
        <f>IF(D182="Present",1,0)</f>
        <v/>
      </c>
    </row>
    <row r="183" ht="15.75" customHeight="1" s="11">
      <c r="A183" s="2" t="inlineStr">
        <is>
          <t>Attendee 32</t>
        </is>
      </c>
      <c r="B183" s="31" t="n">
        <v>45477</v>
      </c>
      <c r="C183" s="10" t="inlineStr">
        <is>
          <t>Yes</t>
        </is>
      </c>
      <c r="D183" s="0">
        <f>IF(C183="Yes","Present",IF(C183="No","Absent",""))</f>
        <v/>
      </c>
      <c r="E183" s="0">
        <f>IF(D183="Present",1,0)</f>
        <v/>
      </c>
    </row>
    <row r="184" ht="15.75" customHeight="1" s="11">
      <c r="A184" s="2" t="inlineStr">
        <is>
          <t>Attendee 33</t>
        </is>
      </c>
      <c r="B184" s="31" t="n">
        <v>45477</v>
      </c>
      <c r="C184" s="10" t="inlineStr">
        <is>
          <t>Yes</t>
        </is>
      </c>
      <c r="D184" s="0">
        <f>IF(C184="Yes","Present",IF(C184="No","Absent",""))</f>
        <v/>
      </c>
      <c r="E184" s="0">
        <f>IF(D184="Present",1,0)</f>
        <v/>
      </c>
    </row>
    <row r="185" ht="15.75" customHeight="1" s="11">
      <c r="A185" s="2" t="inlineStr">
        <is>
          <t>Attendee 34</t>
        </is>
      </c>
      <c r="B185" s="31" t="n">
        <v>45477</v>
      </c>
      <c r="C185" s="10" t="inlineStr">
        <is>
          <t>Yes</t>
        </is>
      </c>
      <c r="D185" s="0">
        <f>IF(C185="Yes","Present",IF(C185="No","Absent",""))</f>
        <v/>
      </c>
      <c r="E185" s="0">
        <f>IF(D185="Present",1,0)</f>
        <v/>
      </c>
    </row>
    <row r="186" ht="15.75" customHeight="1" s="11">
      <c r="A186" s="2" t="inlineStr">
        <is>
          <t>Attendee 35</t>
        </is>
      </c>
      <c r="B186" s="31" t="n">
        <v>45477</v>
      </c>
      <c r="C186" s="10" t="inlineStr">
        <is>
          <t>No</t>
        </is>
      </c>
      <c r="D186" s="0">
        <f>IF(C186="Yes","Present",IF(C186="No","Absent",""))</f>
        <v/>
      </c>
      <c r="E186" s="0">
        <f>IF(D186="Present",1,0)</f>
        <v/>
      </c>
    </row>
    <row r="187" ht="15.75" customHeight="1" s="11">
      <c r="A187" s="2" t="inlineStr">
        <is>
          <t>Attendee 36</t>
        </is>
      </c>
      <c r="B187" s="31" t="n">
        <v>45477</v>
      </c>
      <c r="C187" s="10" t="inlineStr">
        <is>
          <t>Yes</t>
        </is>
      </c>
      <c r="D187" s="0">
        <f>IF(C187="Yes","Present",IF(C187="No","Absent",""))</f>
        <v/>
      </c>
      <c r="E187" s="0">
        <f>IF(D187="Present",1,0)</f>
        <v/>
      </c>
    </row>
    <row r="188" ht="15.75" customHeight="1" s="11">
      <c r="A188" s="2" t="inlineStr">
        <is>
          <t>Attendee 37</t>
        </is>
      </c>
      <c r="B188" s="31" t="n">
        <v>45477</v>
      </c>
      <c r="C188" s="10" t="inlineStr">
        <is>
          <t>No</t>
        </is>
      </c>
      <c r="D188" s="0">
        <f>IF(C188="Yes","Present",IF(C188="No","Absent",""))</f>
        <v/>
      </c>
      <c r="E188" s="0">
        <f>IF(D188="Present",1,0)</f>
        <v/>
      </c>
    </row>
    <row r="189" ht="15.75" customHeight="1" s="11">
      <c r="A189" s="2" t="inlineStr">
        <is>
          <t>Attendee 38</t>
        </is>
      </c>
      <c r="B189" s="31" t="n">
        <v>45477</v>
      </c>
      <c r="C189" s="10" t="inlineStr">
        <is>
          <t>Yes</t>
        </is>
      </c>
      <c r="D189" s="0">
        <f>IF(C189="Yes","Present",IF(C189="No","Absent",""))</f>
        <v/>
      </c>
      <c r="E189" s="0">
        <f>IF(D189="Present",1,0)</f>
        <v/>
      </c>
    </row>
    <row r="190" ht="15.75" customHeight="1" s="11">
      <c r="A190" s="2" t="inlineStr">
        <is>
          <t>Attendee 39</t>
        </is>
      </c>
      <c r="B190" s="31" t="n">
        <v>45477</v>
      </c>
      <c r="C190" s="10" t="inlineStr">
        <is>
          <t>No</t>
        </is>
      </c>
      <c r="D190" s="0">
        <f>IF(C190="Yes","Present",IF(C190="No","Absent",""))</f>
        <v/>
      </c>
      <c r="E190" s="0">
        <f>IF(D190="Present",1,0)</f>
        <v/>
      </c>
    </row>
    <row r="191" ht="15.75" customHeight="1" s="11">
      <c r="A191" s="2" t="inlineStr">
        <is>
          <t>Attendee 40</t>
        </is>
      </c>
      <c r="B191" s="31" t="n">
        <v>45477</v>
      </c>
      <c r="C191" s="10" t="inlineStr">
        <is>
          <t>Yes</t>
        </is>
      </c>
      <c r="D191" s="0">
        <f>IF(C191="Yes","Present",IF(C191="No","Absent",""))</f>
        <v/>
      </c>
      <c r="E191" s="0">
        <f>IF(D191="Present",1,0)</f>
        <v/>
      </c>
    </row>
    <row r="192" ht="15.75" customHeight="1" s="11">
      <c r="A192" s="2" t="inlineStr">
        <is>
          <t>Attendee 41</t>
        </is>
      </c>
      <c r="B192" s="31" t="n">
        <v>45477</v>
      </c>
      <c r="C192" s="10" t="inlineStr">
        <is>
          <t>Yes</t>
        </is>
      </c>
      <c r="D192" s="0">
        <f>IF(C192="Yes","Present",IF(C192="No","Absent",""))</f>
        <v/>
      </c>
      <c r="E192" s="0">
        <f>IF(D192="Present",1,0)</f>
        <v/>
      </c>
    </row>
    <row r="193" ht="15.75" customHeight="1" s="11">
      <c r="A193" s="2" t="inlineStr">
        <is>
          <t>Attendee 42</t>
        </is>
      </c>
      <c r="B193" s="31" t="n">
        <v>45477</v>
      </c>
      <c r="C193" s="10" t="inlineStr">
        <is>
          <t>Yes</t>
        </is>
      </c>
      <c r="D193" s="0">
        <f>IF(C193="Yes","Present",IF(C193="No","Absent",""))</f>
        <v/>
      </c>
      <c r="E193" s="0">
        <f>IF(D193="Present",1,0)</f>
        <v/>
      </c>
    </row>
    <row r="194" ht="15.75" customHeight="1" s="11">
      <c r="A194" s="2" t="inlineStr">
        <is>
          <t>Attendee 43</t>
        </is>
      </c>
      <c r="B194" s="31" t="n">
        <v>45477</v>
      </c>
      <c r="C194" s="10" t="inlineStr">
        <is>
          <t>No</t>
        </is>
      </c>
      <c r="D194" s="0">
        <f>IF(C194="Yes","Present",IF(C194="No","Absent",""))</f>
        <v/>
      </c>
      <c r="E194" s="0">
        <f>IF(D194="Present",1,0)</f>
        <v/>
      </c>
    </row>
    <row r="195" ht="15.75" customHeight="1" s="11">
      <c r="A195" s="2" t="inlineStr">
        <is>
          <t>Attendee 44</t>
        </is>
      </c>
      <c r="B195" s="31" t="n">
        <v>45477</v>
      </c>
      <c r="C195" s="10" t="inlineStr">
        <is>
          <t>Yes</t>
        </is>
      </c>
      <c r="D195" s="0">
        <f>IF(C195="Yes","Present",IF(C195="No","Absent",""))</f>
        <v/>
      </c>
      <c r="E195" s="0">
        <f>IF(D195="Present",1,0)</f>
        <v/>
      </c>
    </row>
    <row r="196" ht="15.75" customHeight="1" s="11">
      <c r="A196" s="2" t="inlineStr">
        <is>
          <t>Attendee 45</t>
        </is>
      </c>
      <c r="B196" s="31" t="n">
        <v>45477</v>
      </c>
      <c r="C196" s="10" t="inlineStr">
        <is>
          <t>Yes</t>
        </is>
      </c>
      <c r="D196" s="0">
        <f>IF(C196="Yes","Present",IF(C196="No","Absent",""))</f>
        <v/>
      </c>
      <c r="E196" s="0">
        <f>IF(D196="Present",1,0)</f>
        <v/>
      </c>
    </row>
    <row r="197" ht="15.75" customHeight="1" s="11">
      <c r="A197" s="2" t="inlineStr">
        <is>
          <t>Attendee 46</t>
        </is>
      </c>
      <c r="B197" s="31" t="n">
        <v>45477</v>
      </c>
      <c r="C197" s="10" t="inlineStr">
        <is>
          <t>No</t>
        </is>
      </c>
      <c r="D197" s="0">
        <f>IF(C197="Yes","Present",IF(C197="No","Absent",""))</f>
        <v/>
      </c>
      <c r="E197" s="0">
        <f>IF(D197="Present",1,0)</f>
        <v/>
      </c>
    </row>
    <row r="198" ht="15.75" customHeight="1" s="11">
      <c r="A198" s="2" t="inlineStr">
        <is>
          <t>Attendee 47</t>
        </is>
      </c>
      <c r="B198" s="31" t="n">
        <v>45477</v>
      </c>
      <c r="C198" s="10" t="inlineStr">
        <is>
          <t>No</t>
        </is>
      </c>
      <c r="D198" s="0">
        <f>IF(C198="Yes","Present",IF(C198="No","Absent",""))</f>
        <v/>
      </c>
      <c r="E198" s="0">
        <f>IF(D198="Present",1,0)</f>
        <v/>
      </c>
    </row>
    <row r="199" ht="15.75" customHeight="1" s="11">
      <c r="A199" s="2" t="inlineStr">
        <is>
          <t>Attendee 48</t>
        </is>
      </c>
      <c r="B199" s="31" t="n">
        <v>45477</v>
      </c>
      <c r="C199" s="10" t="inlineStr">
        <is>
          <t>No</t>
        </is>
      </c>
      <c r="D199" s="0">
        <f>IF(C199="Yes","Present",IF(C199="No","Absent",""))</f>
        <v/>
      </c>
      <c r="E199" s="0">
        <f>IF(D199="Present",1,0)</f>
        <v/>
      </c>
    </row>
    <row r="200" ht="15.75" customHeight="1" s="11">
      <c r="A200" s="2" t="inlineStr">
        <is>
          <t>Attendee 49</t>
        </is>
      </c>
      <c r="B200" s="31" t="n">
        <v>45477</v>
      </c>
      <c r="C200" s="10" t="inlineStr">
        <is>
          <t>No</t>
        </is>
      </c>
      <c r="D200" s="0">
        <f>IF(C200="Yes","Present",IF(C200="No","Absent",""))</f>
        <v/>
      </c>
      <c r="E200" s="0">
        <f>IF(D200="Present",1,0)</f>
        <v/>
      </c>
    </row>
    <row r="201" ht="15.75" customHeight="1" s="11">
      <c r="A201" s="2" t="inlineStr">
        <is>
          <t>Attendee 50</t>
        </is>
      </c>
      <c r="B201" s="31" t="n">
        <v>45477</v>
      </c>
      <c r="C201" s="10" t="inlineStr">
        <is>
          <t>Yes</t>
        </is>
      </c>
      <c r="D201" s="0">
        <f>IF(C201="Yes","Present",IF(C201="No","Absent",""))</f>
        <v/>
      </c>
      <c r="E201" s="0">
        <f>IF(D201="Present",1,0)</f>
        <v/>
      </c>
    </row>
    <row r="202" ht="15.75" customHeight="1" s="11">
      <c r="A202" s="2" t="inlineStr">
        <is>
          <t>Attendee 1</t>
        </is>
      </c>
      <c r="B202" s="31" t="n">
        <v>45478</v>
      </c>
      <c r="C202" s="10" t="inlineStr">
        <is>
          <t>No</t>
        </is>
      </c>
      <c r="D202" s="0">
        <f>IF(C202="Yes","Present",IF(C202="No","Absent",""))</f>
        <v/>
      </c>
      <c r="E202" s="0">
        <f>IF(D202="Present",1,0)</f>
        <v/>
      </c>
    </row>
    <row r="203" ht="15.75" customHeight="1" s="11">
      <c r="A203" s="2" t="inlineStr">
        <is>
          <t>Attendee 2</t>
        </is>
      </c>
      <c r="B203" s="31" t="n">
        <v>45478</v>
      </c>
      <c r="C203" s="10" t="inlineStr">
        <is>
          <t>No</t>
        </is>
      </c>
      <c r="D203" s="0">
        <f>IF(C203="Yes","Present",IF(C203="No","Absent",""))</f>
        <v/>
      </c>
      <c r="E203" s="0">
        <f>IF(D203="Present",1,0)</f>
        <v/>
      </c>
    </row>
    <row r="204" ht="15.75" customHeight="1" s="11">
      <c r="A204" s="2" t="inlineStr">
        <is>
          <t>Attendee 3</t>
        </is>
      </c>
      <c r="B204" s="31" t="n">
        <v>45478</v>
      </c>
      <c r="C204" s="10" t="inlineStr">
        <is>
          <t>No</t>
        </is>
      </c>
      <c r="D204" s="0">
        <f>IF(C204="Yes","Present",IF(C204="No","Absent",""))</f>
        <v/>
      </c>
      <c r="E204" s="0">
        <f>IF(D204="Present",1,0)</f>
        <v/>
      </c>
    </row>
    <row r="205" ht="15.75" customHeight="1" s="11">
      <c r="A205" s="2" t="inlineStr">
        <is>
          <t>Attendee 4</t>
        </is>
      </c>
      <c r="B205" s="31" t="n">
        <v>45478</v>
      </c>
      <c r="C205" s="10" t="inlineStr">
        <is>
          <t>No</t>
        </is>
      </c>
      <c r="D205" s="0">
        <f>IF(C205="Yes","Present",IF(C205="No","Absent",""))</f>
        <v/>
      </c>
      <c r="E205" s="0">
        <f>IF(D205="Present",1,0)</f>
        <v/>
      </c>
    </row>
    <row r="206" ht="15.75" customHeight="1" s="11">
      <c r="A206" s="2" t="inlineStr">
        <is>
          <t>Attendee 5</t>
        </is>
      </c>
      <c r="B206" s="31" t="n">
        <v>45478</v>
      </c>
      <c r="C206" s="10" t="inlineStr">
        <is>
          <t>No</t>
        </is>
      </c>
      <c r="D206" s="0">
        <f>IF(C206="Yes","Present",IF(C206="No","Absent",""))</f>
        <v/>
      </c>
      <c r="E206" s="0">
        <f>IF(D206="Present",1,0)</f>
        <v/>
      </c>
    </row>
    <row r="207" ht="15.75" customHeight="1" s="11">
      <c r="A207" s="2" t="inlineStr">
        <is>
          <t>Attendee 6</t>
        </is>
      </c>
      <c r="B207" s="31" t="n">
        <v>45478</v>
      </c>
      <c r="C207" s="10" t="inlineStr">
        <is>
          <t>Yes</t>
        </is>
      </c>
      <c r="D207" s="0">
        <f>IF(C207="Yes","Present",IF(C207="No","Absent",""))</f>
        <v/>
      </c>
      <c r="E207" s="0">
        <f>IF(D207="Present",1,0)</f>
        <v/>
      </c>
    </row>
    <row r="208" ht="15.75" customHeight="1" s="11">
      <c r="A208" s="2" t="inlineStr">
        <is>
          <t>Attendee 7</t>
        </is>
      </c>
      <c r="B208" s="31" t="n">
        <v>45478</v>
      </c>
      <c r="C208" s="10" t="inlineStr">
        <is>
          <t>Yes</t>
        </is>
      </c>
      <c r="D208" s="0">
        <f>IF(C208="Yes","Present",IF(C208="No","Absent",""))</f>
        <v/>
      </c>
      <c r="E208" s="0">
        <f>IF(D208="Present",1,0)</f>
        <v/>
      </c>
    </row>
    <row r="209" ht="15.75" customHeight="1" s="11">
      <c r="A209" s="2" t="inlineStr">
        <is>
          <t>Attendee 8</t>
        </is>
      </c>
      <c r="B209" s="31" t="n">
        <v>45478</v>
      </c>
      <c r="C209" s="10" t="inlineStr">
        <is>
          <t>No</t>
        </is>
      </c>
      <c r="D209" s="0">
        <f>IF(C209="Yes","Present",IF(C209="No","Absent",""))</f>
        <v/>
      </c>
      <c r="E209" s="0">
        <f>IF(D209="Present",1,0)</f>
        <v/>
      </c>
    </row>
    <row r="210" ht="15.75" customHeight="1" s="11">
      <c r="A210" s="2" t="inlineStr">
        <is>
          <t>Attendee 9</t>
        </is>
      </c>
      <c r="B210" s="31" t="n">
        <v>45478</v>
      </c>
      <c r="C210" s="10" t="inlineStr">
        <is>
          <t>No</t>
        </is>
      </c>
      <c r="D210" s="0">
        <f>IF(C210="Yes","Present",IF(C210="No","Absent",""))</f>
        <v/>
      </c>
      <c r="E210" s="0">
        <f>IF(D210="Present",1,0)</f>
        <v/>
      </c>
    </row>
    <row r="211" ht="15.75" customHeight="1" s="11">
      <c r="A211" s="2" t="inlineStr">
        <is>
          <t>Attendee 10</t>
        </is>
      </c>
      <c r="B211" s="31" t="n">
        <v>45478</v>
      </c>
      <c r="C211" s="10" t="inlineStr">
        <is>
          <t>No</t>
        </is>
      </c>
      <c r="D211" s="0">
        <f>IF(C211="Yes","Present",IF(C211="No","Absent",""))</f>
        <v/>
      </c>
      <c r="E211" s="0">
        <f>IF(D211="Present",1,0)</f>
        <v/>
      </c>
    </row>
    <row r="212" ht="15.75" customHeight="1" s="11">
      <c r="A212" s="2" t="inlineStr">
        <is>
          <t>Attendee 11</t>
        </is>
      </c>
      <c r="B212" s="31" t="n">
        <v>45478</v>
      </c>
      <c r="C212" s="10" t="inlineStr">
        <is>
          <t>No</t>
        </is>
      </c>
      <c r="D212" s="0">
        <f>IF(C212="Yes","Present",IF(C212="No","Absent",""))</f>
        <v/>
      </c>
      <c r="E212" s="0">
        <f>IF(D212="Present",1,0)</f>
        <v/>
      </c>
    </row>
    <row r="213" ht="15.75" customHeight="1" s="11">
      <c r="A213" s="2" t="inlineStr">
        <is>
          <t>Attendee 12</t>
        </is>
      </c>
      <c r="B213" s="31" t="n">
        <v>45478</v>
      </c>
      <c r="C213" s="10" t="inlineStr">
        <is>
          <t>No</t>
        </is>
      </c>
      <c r="D213" s="0">
        <f>IF(C213="Yes","Present",IF(C213="No","Absent",""))</f>
        <v/>
      </c>
      <c r="E213" s="0">
        <f>IF(D213="Present",1,0)</f>
        <v/>
      </c>
    </row>
    <row r="214" ht="15.75" customHeight="1" s="11">
      <c r="A214" s="2" t="inlineStr">
        <is>
          <t>Attendee 13</t>
        </is>
      </c>
      <c r="B214" s="31" t="n">
        <v>45478</v>
      </c>
      <c r="C214" s="10" t="inlineStr">
        <is>
          <t>Yes</t>
        </is>
      </c>
      <c r="D214" s="0">
        <f>IF(C214="Yes","Present",IF(C214="No","Absent",""))</f>
        <v/>
      </c>
      <c r="E214" s="0">
        <f>IF(D214="Present",1,0)</f>
        <v/>
      </c>
    </row>
    <row r="215" ht="15.75" customHeight="1" s="11">
      <c r="A215" s="2" t="inlineStr">
        <is>
          <t>Attendee 14</t>
        </is>
      </c>
      <c r="B215" s="31" t="n">
        <v>45478</v>
      </c>
      <c r="C215" s="10" t="inlineStr">
        <is>
          <t>Yes</t>
        </is>
      </c>
      <c r="D215" s="0">
        <f>IF(C215="Yes","Present",IF(C215="No","Absent",""))</f>
        <v/>
      </c>
      <c r="E215" s="0">
        <f>IF(D215="Present",1,0)</f>
        <v/>
      </c>
    </row>
    <row r="216" ht="15.75" customHeight="1" s="11">
      <c r="A216" s="2" t="inlineStr">
        <is>
          <t>Attendee 15</t>
        </is>
      </c>
      <c r="B216" s="31" t="n">
        <v>45478</v>
      </c>
      <c r="C216" s="10" t="inlineStr">
        <is>
          <t>No</t>
        </is>
      </c>
      <c r="D216" s="0">
        <f>IF(C216="Yes","Present",IF(C216="No","Absent",""))</f>
        <v/>
      </c>
      <c r="E216" s="0">
        <f>IF(D216="Present",1,0)</f>
        <v/>
      </c>
    </row>
    <row r="217" ht="15.75" customHeight="1" s="11">
      <c r="A217" s="2" t="inlineStr">
        <is>
          <t>Attendee 16</t>
        </is>
      </c>
      <c r="B217" s="31" t="n">
        <v>45478</v>
      </c>
      <c r="C217" s="10" t="inlineStr">
        <is>
          <t>Yes</t>
        </is>
      </c>
      <c r="D217" s="0">
        <f>IF(C217="Yes","Present",IF(C217="No","Absent",""))</f>
        <v/>
      </c>
      <c r="E217" s="0">
        <f>IF(D217="Present",1,0)</f>
        <v/>
      </c>
    </row>
    <row r="218" ht="15.75" customHeight="1" s="11">
      <c r="A218" s="2" t="inlineStr">
        <is>
          <t>Attendee 17</t>
        </is>
      </c>
      <c r="B218" s="31" t="n">
        <v>45478</v>
      </c>
      <c r="C218" s="10" t="inlineStr">
        <is>
          <t>Yes</t>
        </is>
      </c>
      <c r="D218" s="0">
        <f>IF(C218="Yes","Present",IF(C218="No","Absent",""))</f>
        <v/>
      </c>
      <c r="E218" s="0">
        <f>IF(D218="Present",1,0)</f>
        <v/>
      </c>
    </row>
    <row r="219" ht="15.75" customHeight="1" s="11">
      <c r="A219" s="2" t="inlineStr">
        <is>
          <t>Attendee 18</t>
        </is>
      </c>
      <c r="B219" s="31" t="n">
        <v>45478</v>
      </c>
      <c r="C219" s="10" t="inlineStr">
        <is>
          <t>Yes</t>
        </is>
      </c>
      <c r="D219" s="0">
        <f>IF(C219="Yes","Present",IF(C219="No","Absent",""))</f>
        <v/>
      </c>
      <c r="E219" s="0">
        <f>IF(D219="Present",1,0)</f>
        <v/>
      </c>
    </row>
    <row r="220" ht="15.75" customHeight="1" s="11">
      <c r="A220" s="2" t="inlineStr">
        <is>
          <t>Attendee 19</t>
        </is>
      </c>
      <c r="B220" s="31" t="n">
        <v>45478</v>
      </c>
      <c r="C220" s="10" t="inlineStr">
        <is>
          <t>No</t>
        </is>
      </c>
      <c r="D220" s="0">
        <f>IF(C220="Yes","Present",IF(C220="No","Absent",""))</f>
        <v/>
      </c>
      <c r="E220" s="0">
        <f>IF(D220="Present",1,0)</f>
        <v/>
      </c>
    </row>
    <row r="221" ht="15.75" customHeight="1" s="11">
      <c r="A221" s="2" t="inlineStr">
        <is>
          <t>Attendee 20</t>
        </is>
      </c>
      <c r="B221" s="31" t="n">
        <v>45478</v>
      </c>
      <c r="C221" s="10" t="inlineStr">
        <is>
          <t>Yes</t>
        </is>
      </c>
      <c r="D221" s="0">
        <f>IF(C221="Yes","Present",IF(C221="No","Absent",""))</f>
        <v/>
      </c>
      <c r="E221" s="0">
        <f>IF(D221="Present",1,0)</f>
        <v/>
      </c>
    </row>
    <row r="222" ht="15.75" customHeight="1" s="11">
      <c r="A222" s="2" t="inlineStr">
        <is>
          <t>Attendee 21</t>
        </is>
      </c>
      <c r="B222" s="31" t="n">
        <v>45478</v>
      </c>
      <c r="C222" s="10" t="inlineStr">
        <is>
          <t>Yes</t>
        </is>
      </c>
      <c r="D222" s="0">
        <f>IF(C222="Yes","Present",IF(C222="No","Absent",""))</f>
        <v/>
      </c>
      <c r="E222" s="0">
        <f>IF(D222="Present",1,0)</f>
        <v/>
      </c>
    </row>
    <row r="223" ht="15.75" customHeight="1" s="11">
      <c r="A223" s="2" t="inlineStr">
        <is>
          <t>Attendee 22</t>
        </is>
      </c>
      <c r="B223" s="31" t="n">
        <v>45478</v>
      </c>
      <c r="C223" s="10" t="inlineStr">
        <is>
          <t>No</t>
        </is>
      </c>
      <c r="D223" s="0">
        <f>IF(C223="Yes","Present",IF(C223="No","Absent",""))</f>
        <v/>
      </c>
      <c r="E223" s="0">
        <f>IF(D223="Present",1,0)</f>
        <v/>
      </c>
    </row>
    <row r="224" ht="15.75" customHeight="1" s="11">
      <c r="A224" s="2" t="inlineStr">
        <is>
          <t>Attendee 23</t>
        </is>
      </c>
      <c r="B224" s="31" t="n">
        <v>45478</v>
      </c>
      <c r="C224" s="10" t="inlineStr">
        <is>
          <t>No</t>
        </is>
      </c>
      <c r="D224" s="0">
        <f>IF(C224="Yes","Present",IF(C224="No","Absent",""))</f>
        <v/>
      </c>
      <c r="E224" s="0">
        <f>IF(D224="Present",1,0)</f>
        <v/>
      </c>
    </row>
    <row r="225" ht="15.75" customHeight="1" s="11">
      <c r="A225" s="2" t="inlineStr">
        <is>
          <t>Attendee 24</t>
        </is>
      </c>
      <c r="B225" s="31" t="n">
        <v>45478</v>
      </c>
      <c r="C225" s="10" t="inlineStr">
        <is>
          <t>No</t>
        </is>
      </c>
      <c r="D225" s="0">
        <f>IF(C225="Yes","Present",IF(C225="No","Absent",""))</f>
        <v/>
      </c>
      <c r="E225" s="0">
        <f>IF(D225="Present",1,0)</f>
        <v/>
      </c>
    </row>
    <row r="226" ht="15.75" customHeight="1" s="11">
      <c r="A226" s="2" t="inlineStr">
        <is>
          <t>Attendee 25</t>
        </is>
      </c>
      <c r="B226" s="31" t="n">
        <v>45478</v>
      </c>
      <c r="C226" s="10" t="inlineStr">
        <is>
          <t>No</t>
        </is>
      </c>
      <c r="D226" s="0">
        <f>IF(C226="Yes","Present",IF(C226="No","Absent",""))</f>
        <v/>
      </c>
      <c r="E226" s="0">
        <f>IF(D226="Present",1,0)</f>
        <v/>
      </c>
    </row>
    <row r="227" ht="15.75" customHeight="1" s="11">
      <c r="A227" s="2" t="inlineStr">
        <is>
          <t>Attendee 26</t>
        </is>
      </c>
      <c r="B227" s="31" t="n">
        <v>45478</v>
      </c>
      <c r="C227" s="10" t="inlineStr">
        <is>
          <t>Yes</t>
        </is>
      </c>
      <c r="D227" s="0">
        <f>IF(C227="Yes","Present",IF(C227="No","Absent",""))</f>
        <v/>
      </c>
      <c r="E227" s="0">
        <f>IF(D227="Present",1,0)</f>
        <v/>
      </c>
    </row>
    <row r="228" ht="15.75" customHeight="1" s="11">
      <c r="A228" s="2" t="inlineStr">
        <is>
          <t>Attendee 27</t>
        </is>
      </c>
      <c r="B228" s="31" t="n">
        <v>45478</v>
      </c>
      <c r="C228" s="10" t="inlineStr">
        <is>
          <t>Yes</t>
        </is>
      </c>
      <c r="D228" s="0">
        <f>IF(C228="Yes","Present",IF(C228="No","Absent",""))</f>
        <v/>
      </c>
      <c r="E228" s="0">
        <f>IF(D228="Present",1,0)</f>
        <v/>
      </c>
    </row>
    <row r="229" ht="15.75" customHeight="1" s="11">
      <c r="A229" s="2" t="inlineStr">
        <is>
          <t>Attendee 28</t>
        </is>
      </c>
      <c r="B229" s="31" t="n">
        <v>45478</v>
      </c>
      <c r="C229" s="10" t="inlineStr">
        <is>
          <t>No</t>
        </is>
      </c>
      <c r="D229" s="0">
        <f>IF(C229="Yes","Present",IF(C229="No","Absent",""))</f>
        <v/>
      </c>
      <c r="E229" s="0">
        <f>IF(D229="Present",1,0)</f>
        <v/>
      </c>
    </row>
    <row r="230" ht="15.75" customHeight="1" s="11">
      <c r="A230" s="2" t="inlineStr">
        <is>
          <t>Attendee 29</t>
        </is>
      </c>
      <c r="B230" s="31" t="n">
        <v>45478</v>
      </c>
      <c r="C230" s="10" t="inlineStr">
        <is>
          <t>Yes</t>
        </is>
      </c>
      <c r="D230" s="0">
        <f>IF(C230="Yes","Present",IF(C230="No","Absent",""))</f>
        <v/>
      </c>
      <c r="E230" s="0">
        <f>IF(D230="Present",1,0)</f>
        <v/>
      </c>
    </row>
    <row r="231" ht="15.75" customHeight="1" s="11">
      <c r="A231" s="2" t="inlineStr">
        <is>
          <t>Attendee 30</t>
        </is>
      </c>
      <c r="B231" s="31" t="n">
        <v>45478</v>
      </c>
      <c r="C231" s="10" t="inlineStr">
        <is>
          <t>Yes</t>
        </is>
      </c>
      <c r="D231" s="0">
        <f>IF(C231="Yes","Present",IF(C231="No","Absent",""))</f>
        <v/>
      </c>
      <c r="E231" s="0">
        <f>IF(D231="Present",1,0)</f>
        <v/>
      </c>
    </row>
    <row r="232" ht="15.75" customHeight="1" s="11">
      <c r="A232" s="2" t="inlineStr">
        <is>
          <t>Attendee 31</t>
        </is>
      </c>
      <c r="B232" s="31" t="n">
        <v>45478</v>
      </c>
      <c r="C232" s="10" t="inlineStr">
        <is>
          <t>No</t>
        </is>
      </c>
      <c r="D232" s="0">
        <f>IF(C232="Yes","Present",IF(C232="No","Absent",""))</f>
        <v/>
      </c>
      <c r="E232" s="0">
        <f>IF(D232="Present",1,0)</f>
        <v/>
      </c>
    </row>
    <row r="233" ht="15.75" customHeight="1" s="11">
      <c r="A233" s="2" t="inlineStr">
        <is>
          <t>Attendee 32</t>
        </is>
      </c>
      <c r="B233" s="31" t="n">
        <v>45478</v>
      </c>
      <c r="C233" s="10" t="inlineStr">
        <is>
          <t>Yes</t>
        </is>
      </c>
      <c r="D233" s="0">
        <f>IF(C233="Yes","Present",IF(C233="No","Absent",""))</f>
        <v/>
      </c>
      <c r="E233" s="0">
        <f>IF(D233="Present",1,0)</f>
        <v/>
      </c>
    </row>
    <row r="234" ht="15.75" customHeight="1" s="11">
      <c r="A234" s="2" t="inlineStr">
        <is>
          <t>Attendee 33</t>
        </is>
      </c>
      <c r="B234" s="31" t="n">
        <v>45478</v>
      </c>
      <c r="C234" s="10" t="inlineStr">
        <is>
          <t>Yes</t>
        </is>
      </c>
      <c r="D234" s="0">
        <f>IF(C234="Yes","Present",IF(C234="No","Absent",""))</f>
        <v/>
      </c>
      <c r="E234" s="0">
        <f>IF(D234="Present",1,0)</f>
        <v/>
      </c>
    </row>
    <row r="235" ht="15.75" customHeight="1" s="11">
      <c r="A235" s="2" t="inlineStr">
        <is>
          <t>Attendee 34</t>
        </is>
      </c>
      <c r="B235" s="31" t="n">
        <v>45478</v>
      </c>
      <c r="C235" s="10" t="inlineStr">
        <is>
          <t>No</t>
        </is>
      </c>
      <c r="D235" s="0">
        <f>IF(C235="Yes","Present",IF(C235="No","Absent",""))</f>
        <v/>
      </c>
      <c r="E235" s="0">
        <f>IF(D235="Present",1,0)</f>
        <v/>
      </c>
    </row>
    <row r="236" ht="15.75" customHeight="1" s="11">
      <c r="A236" s="2" t="inlineStr">
        <is>
          <t>Attendee 35</t>
        </is>
      </c>
      <c r="B236" s="31" t="n">
        <v>45478</v>
      </c>
      <c r="C236" s="10" t="inlineStr">
        <is>
          <t>Yes</t>
        </is>
      </c>
      <c r="D236" s="0">
        <f>IF(C236="Yes","Present",IF(C236="No","Absent",""))</f>
        <v/>
      </c>
      <c r="E236" s="0">
        <f>IF(D236="Present",1,0)</f>
        <v/>
      </c>
    </row>
    <row r="237" ht="15.75" customHeight="1" s="11">
      <c r="A237" s="2" t="inlineStr">
        <is>
          <t>Attendee 36</t>
        </is>
      </c>
      <c r="B237" s="31" t="n">
        <v>45478</v>
      </c>
      <c r="C237" s="10" t="inlineStr">
        <is>
          <t>No</t>
        </is>
      </c>
      <c r="D237" s="0">
        <f>IF(C237="Yes","Present",IF(C237="No","Absent",""))</f>
        <v/>
      </c>
      <c r="E237" s="0">
        <f>IF(D237="Present",1,0)</f>
        <v/>
      </c>
    </row>
    <row r="238" ht="15.75" customHeight="1" s="11">
      <c r="A238" s="2" t="inlineStr">
        <is>
          <t>Attendee 37</t>
        </is>
      </c>
      <c r="B238" s="31" t="n">
        <v>45478</v>
      </c>
      <c r="C238" s="10" t="inlineStr">
        <is>
          <t>Yes</t>
        </is>
      </c>
      <c r="D238" s="0">
        <f>IF(C238="Yes","Present",IF(C238="No","Absent",""))</f>
        <v/>
      </c>
      <c r="E238" s="0">
        <f>IF(D238="Present",1,0)</f>
        <v/>
      </c>
    </row>
    <row r="239" ht="15.75" customHeight="1" s="11">
      <c r="A239" s="2" t="inlineStr">
        <is>
          <t>Attendee 38</t>
        </is>
      </c>
      <c r="B239" s="31" t="n">
        <v>45478</v>
      </c>
      <c r="C239" s="10" t="inlineStr">
        <is>
          <t>Yes</t>
        </is>
      </c>
      <c r="D239" s="0">
        <f>IF(C239="Yes","Present",IF(C239="No","Absent",""))</f>
        <v/>
      </c>
      <c r="E239" s="0">
        <f>IF(D239="Present",1,0)</f>
        <v/>
      </c>
    </row>
    <row r="240" ht="15.75" customHeight="1" s="11">
      <c r="A240" s="2" t="inlineStr">
        <is>
          <t>Attendee 39</t>
        </is>
      </c>
      <c r="B240" s="31" t="n">
        <v>45478</v>
      </c>
      <c r="C240" s="10" t="inlineStr">
        <is>
          <t>Yes</t>
        </is>
      </c>
      <c r="D240" s="0">
        <f>IF(C240="Yes","Present",IF(C240="No","Absent",""))</f>
        <v/>
      </c>
      <c r="E240" s="0">
        <f>IF(D240="Present",1,0)</f>
        <v/>
      </c>
    </row>
    <row r="241" ht="15.75" customHeight="1" s="11">
      <c r="A241" s="2" t="inlineStr">
        <is>
          <t>Attendee 40</t>
        </is>
      </c>
      <c r="B241" s="31" t="n">
        <v>45478</v>
      </c>
      <c r="C241" s="10" t="inlineStr">
        <is>
          <t>No</t>
        </is>
      </c>
      <c r="D241" s="0">
        <f>IF(C241="Yes","Present",IF(C241="No","Absent",""))</f>
        <v/>
      </c>
      <c r="E241" s="0">
        <f>IF(D241="Present",1,0)</f>
        <v/>
      </c>
    </row>
    <row r="242" ht="15.75" customHeight="1" s="11">
      <c r="A242" s="2" t="inlineStr">
        <is>
          <t>Attendee 41</t>
        </is>
      </c>
      <c r="B242" s="31" t="n">
        <v>45478</v>
      </c>
      <c r="C242" s="10" t="inlineStr">
        <is>
          <t>Yes</t>
        </is>
      </c>
      <c r="D242" s="0">
        <f>IF(C242="Yes","Present",IF(C242="No","Absent",""))</f>
        <v/>
      </c>
      <c r="E242" s="0">
        <f>IF(D242="Present",1,0)</f>
        <v/>
      </c>
    </row>
    <row r="243" ht="15.75" customHeight="1" s="11">
      <c r="A243" s="2" t="inlineStr">
        <is>
          <t>Attendee 42</t>
        </is>
      </c>
      <c r="B243" s="31" t="n">
        <v>45478</v>
      </c>
      <c r="C243" s="10" t="inlineStr">
        <is>
          <t>No</t>
        </is>
      </c>
      <c r="D243" s="0">
        <f>IF(C243="Yes","Present",IF(C243="No","Absent",""))</f>
        <v/>
      </c>
      <c r="E243" s="0">
        <f>IF(D243="Present",1,0)</f>
        <v/>
      </c>
    </row>
    <row r="244" ht="15.75" customHeight="1" s="11">
      <c r="A244" s="2" t="inlineStr">
        <is>
          <t>Attendee 43</t>
        </is>
      </c>
      <c r="B244" s="31" t="n">
        <v>45478</v>
      </c>
      <c r="C244" s="10" t="inlineStr">
        <is>
          <t>No</t>
        </is>
      </c>
      <c r="D244" s="0">
        <f>IF(C244="Yes","Present",IF(C244="No","Absent",""))</f>
        <v/>
      </c>
      <c r="E244" s="0">
        <f>IF(D244="Present",1,0)</f>
        <v/>
      </c>
    </row>
    <row r="245" ht="15.75" customHeight="1" s="11">
      <c r="A245" s="2" t="inlineStr">
        <is>
          <t>Attendee 44</t>
        </is>
      </c>
      <c r="B245" s="31" t="n">
        <v>45478</v>
      </c>
      <c r="C245" s="10" t="inlineStr">
        <is>
          <t>No</t>
        </is>
      </c>
      <c r="D245" s="0">
        <f>IF(C245="Yes","Present",IF(C245="No","Absent",""))</f>
        <v/>
      </c>
      <c r="E245" s="0">
        <f>IF(D245="Present",1,0)</f>
        <v/>
      </c>
    </row>
    <row r="246" ht="15.75" customHeight="1" s="11">
      <c r="A246" s="2" t="inlineStr">
        <is>
          <t>Attendee 45</t>
        </is>
      </c>
      <c r="B246" s="31" t="n">
        <v>45478</v>
      </c>
      <c r="C246" s="10" t="inlineStr">
        <is>
          <t>Yes</t>
        </is>
      </c>
      <c r="D246" s="0">
        <f>IF(C246="Yes","Present",IF(C246="No","Absent",""))</f>
        <v/>
      </c>
      <c r="E246" s="0">
        <f>IF(D246="Present",1,0)</f>
        <v/>
      </c>
    </row>
    <row r="247" ht="15.75" customHeight="1" s="11">
      <c r="A247" s="2" t="inlineStr">
        <is>
          <t>Attendee 46</t>
        </is>
      </c>
      <c r="B247" s="31" t="n">
        <v>45478</v>
      </c>
      <c r="C247" s="10" t="inlineStr">
        <is>
          <t>No</t>
        </is>
      </c>
      <c r="D247" s="0">
        <f>IF(C247="Yes","Present",IF(C247="No","Absent",""))</f>
        <v/>
      </c>
      <c r="E247" s="0">
        <f>IF(D247="Present",1,0)</f>
        <v/>
      </c>
    </row>
    <row r="248" ht="15.75" customHeight="1" s="11">
      <c r="A248" s="2" t="inlineStr">
        <is>
          <t>Attendee 47</t>
        </is>
      </c>
      <c r="B248" s="31" t="n">
        <v>45478</v>
      </c>
      <c r="C248" s="10" t="inlineStr">
        <is>
          <t>Yes</t>
        </is>
      </c>
      <c r="D248" s="0">
        <f>IF(C248="Yes","Present",IF(C248="No","Absent",""))</f>
        <v/>
      </c>
      <c r="E248" s="0">
        <f>IF(D248="Present",1,0)</f>
        <v/>
      </c>
    </row>
    <row r="249" ht="15.75" customHeight="1" s="11">
      <c r="A249" s="2" t="inlineStr">
        <is>
          <t>Attendee 48</t>
        </is>
      </c>
      <c r="B249" s="31" t="n">
        <v>45478</v>
      </c>
      <c r="C249" s="10" t="inlineStr">
        <is>
          <t>No</t>
        </is>
      </c>
      <c r="D249" s="0">
        <f>IF(C249="Yes","Present",IF(C249="No","Absent",""))</f>
        <v/>
      </c>
      <c r="E249" s="0">
        <f>IF(D249="Present",1,0)</f>
        <v/>
      </c>
    </row>
    <row r="250" ht="15.75" customHeight="1" s="11">
      <c r="A250" s="2" t="inlineStr">
        <is>
          <t>Attendee 49</t>
        </is>
      </c>
      <c r="B250" s="31" t="n">
        <v>45478</v>
      </c>
      <c r="C250" s="10" t="inlineStr">
        <is>
          <t>Yes</t>
        </is>
      </c>
      <c r="D250" s="0">
        <f>IF(C250="Yes","Present",IF(C250="No","Absent",""))</f>
        <v/>
      </c>
      <c r="E250" s="0">
        <f>IF(D250="Present",1,0)</f>
        <v/>
      </c>
    </row>
    <row r="251" ht="15.75" customHeight="1" s="11">
      <c r="A251" s="2" t="inlineStr">
        <is>
          <t>Attendee 50</t>
        </is>
      </c>
      <c r="B251" s="31" t="n">
        <v>45478</v>
      </c>
      <c r="C251" s="10" t="inlineStr">
        <is>
          <t>No</t>
        </is>
      </c>
      <c r="D251" s="0">
        <f>IF(C251="Yes","Present",IF(C251="No","Absent",""))</f>
        <v/>
      </c>
      <c r="E251" s="0">
        <f>IF(D251="Present",1,0)</f>
        <v/>
      </c>
    </row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conditionalFormatting sqref="D2:D251">
    <cfRule type="expression" priority="1" dxfId="7">
      <formula>D2="Present"</formula>
    </cfRule>
    <cfRule type="expression" priority="2" dxfId="8">
      <formula>D2="Absent"</formula>
    </cfRule>
  </conditionalFormatting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2024-10-06T13:38:35Z</dcterms:created>
  <dcterms:modified xmlns:dcterms="http://purl.org/dc/terms/" xmlns:xsi="http://www.w3.org/2001/XMLSchema-instance" xsi:type="dcterms:W3CDTF">2026-10-11T13:22:45Z</dcterms:modified>
</cp:coreProperties>
</file>